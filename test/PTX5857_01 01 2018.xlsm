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updateLinks="never" codeName="ThisWorkbook" defaultThemeVersion="124226"/>
  <workbookProtection workbookPassword="DE15" lockStructure="1"/>
  <bookViews>
    <workbookView xWindow="-270" yWindow="-90" windowWidth="20490" windowHeight="4905" tabRatio="643"/>
  </bookViews>
  <sheets>
    <sheet name="Daily Drilling Report" sheetId="8" r:id="rId1"/>
    <sheet name="Controls" sheetId="33" state="hidden" r:id="rId2"/>
    <sheet name="ANAGRAFICA WEATHER SKY" sheetId="11" state="hidden" r:id="rId3"/>
    <sheet name="ANAGRAFICA CODE" sheetId="12" state="hidden" r:id="rId4"/>
    <sheet name="Secondary Code" sheetId="32" state="hidden" r:id="rId5"/>
    <sheet name="Other Sections" sheetId="23" r:id="rId6"/>
    <sheet name="UOM Configuration" sheetId="29" r:id="rId7"/>
    <sheet name="Country Master Data" sheetId="28" r:id="rId8"/>
    <sheet name="Rig Master Data" sheetId="30" r:id="rId9"/>
    <sheet name="UOM Converter" sheetId="13" r:id="rId10"/>
    <sheet name="ANAGRAFICA STATUS" sheetId="24" state="hidden" r:id="rId11"/>
    <sheet name="ONSHORE" sheetId="31" state="hidden" r:id="rId12"/>
  </sheets>
  <definedNames>
    <definedName name="_1._Rig_up_and_Tear_Down">'Secondary Code'!$A$2:$A$18</definedName>
    <definedName name="_10._Deviation_Survey">'Secondary Code'!$A$127</definedName>
    <definedName name="_11._Wire_Line_Logs">'Secondary Code'!$A$131:$A$133</definedName>
    <definedName name="_12._Run_Casing_And_Cement">'Secondary Code'!$A$138:$A$176</definedName>
    <definedName name="_13._Wait_On_Cement">'Secondary Code'!$A$181:$A$182</definedName>
    <definedName name="_14._Nipple_Up_B.O.P">'Secondary Code'!$A$187:$A$203</definedName>
    <definedName name="_15._Test_B.O.P.">'Secondary Code'!$A$208:$A$215</definedName>
    <definedName name="_16._Drill_Stem_Test">'Secondary Code'!$A$220:$A$221</definedName>
    <definedName name="_17._Plug_Back">'Secondary Code'!$A$226:$A$229</definedName>
    <definedName name="_18._Squeeze_Cement">'Secondary Code'!$A$234:$A$237</definedName>
    <definedName name="_19._Fishing">'Secondary Code'!$A$242:$A$246</definedName>
    <definedName name="_2._Drill_Actual">'Secondary Code'!$A$23:$A$29</definedName>
    <definedName name="_20._Directional_Work">'Secondary Code'!$A$251:$A$254</definedName>
    <definedName name="_21._Other">'Secondary Code'!$A$259:$A$275</definedName>
    <definedName name="_22._Other_2">'Secondary Code'!$A$280:$A$287</definedName>
    <definedName name="_23._NOT_under_contract">'Secondary Code'!$A$292:$A$295</definedName>
    <definedName name="_3._Reaming">'Secondary Code'!$A$34:$A$42</definedName>
    <definedName name="_4._Coring">'Secondary Code'!$A$47:$A$51</definedName>
    <definedName name="_5._Condition_Mud_And_Circulate">'Secondary Code'!$A$56:$A$62</definedName>
    <definedName name="_6._Trips">'Secondary Code'!$A$67:$A$83</definedName>
    <definedName name="_7._Lubricate_Rig">'Secondary Code'!$A$88:$A$90</definedName>
    <definedName name="_8._Repair_Rig">'Secondary Code'!$A$95:$A$116</definedName>
    <definedName name="_9._Cut_Off_Drilling_Line">'Secondary Code'!$A$121:$A$122</definedName>
    <definedName name="_A._Perforating">'Secondary Code'!$A$300:$A$303</definedName>
    <definedName name="_B._Tubing_Trips">'Secondary Code'!$A$308:$A$315</definedName>
    <definedName name="_C._Treating">'Secondary Code'!$A$320:$A$326</definedName>
    <definedName name="_D._Swabbing">'Secondary Code'!$A$331:$A$333</definedName>
    <definedName name="_E._Well_Testing">'Secondary Code'!$A$338:$A$343</definedName>
    <definedName name="_F._Completion">'Secondary Code'!$A$348:$A$352</definedName>
    <definedName name="_G._Completion">'Secondary Code'!$A$357:$A$363</definedName>
    <definedName name="_xlnm.Print_Area" localSheetId="5">'Other Sections'!$A$1:$O$36</definedName>
    <definedName name="COUNTRY" localSheetId="6">#REF!</definedName>
    <definedName name="Country">#REF!</definedName>
    <definedName name="COUNTRY2">#REF!</definedName>
    <definedName name="LISTA_CUSTOM">#REF!</definedName>
    <definedName name="NEW_RIG">#REF!</definedName>
    <definedName name="RIG">#REF!</definedName>
    <definedName name="RIG_LIST" localSheetId="6">#REF!</definedName>
    <definedName name="RIG_LIST">#REF!</definedName>
    <definedName name="RIGLIST">#REF!</definedName>
    <definedName name="_xlnm.Print_Titles" localSheetId="0">'Daily Drilling Report'!$A:$O,'Daily Drilling Report'!$1:$32</definedName>
  </definedNames>
  <calcPr calcId="145621"/>
</workbook>
</file>

<file path=xl/calcChain.xml><?xml version="1.0" encoding="utf-8"?>
<calcChain xmlns="http://schemas.openxmlformats.org/spreadsheetml/2006/main">
  <c r="C91" i="8" l="1"/>
  <c r="A91" i="8"/>
  <c r="E85" i="8" l="1"/>
  <c r="AX62" i="8" l="1"/>
  <c r="A62" i="8"/>
  <c r="C62" i="8" s="1"/>
  <c r="AX60" i="8"/>
  <c r="A60" i="8"/>
  <c r="C60" i="8" s="1"/>
  <c r="AX58" i="8"/>
  <c r="A58" i="8"/>
  <c r="C58" i="8" s="1"/>
  <c r="O7" i="8" l="1"/>
  <c r="AX68" i="8" l="1"/>
  <c r="AX66" i="8"/>
  <c r="AX64" i="8"/>
  <c r="AX56" i="8"/>
  <c r="A56" i="8"/>
  <c r="C56" i="8" s="1"/>
  <c r="AX54" i="8" l="1"/>
  <c r="A54" i="8"/>
  <c r="C54" i="8" s="1"/>
  <c r="AX52" i="8"/>
  <c r="A52" i="8"/>
  <c r="C52" i="8" s="1"/>
  <c r="AX50" i="8"/>
  <c r="A50" i="8"/>
  <c r="C50" i="8" s="1"/>
  <c r="AX48" i="8"/>
  <c r="A48" i="8"/>
  <c r="C48" i="8" s="1"/>
  <c r="AX46" i="8"/>
  <c r="A46" i="8"/>
  <c r="C46" i="8" s="1"/>
  <c r="AX72" i="8" l="1"/>
  <c r="AX70" i="8"/>
  <c r="C90" i="8" l="1"/>
  <c r="C26" i="23" l="1"/>
  <c r="C25" i="23"/>
  <c r="C24" i="23"/>
  <c r="C23" i="23"/>
  <c r="AX76" i="8" l="1"/>
  <c r="AX74" i="8" l="1"/>
  <c r="C19" i="23" l="1"/>
  <c r="I7" i="8" l="1"/>
  <c r="AU87" i="33" l="1"/>
  <c r="AT87" i="33"/>
  <c r="AS87" i="33"/>
  <c r="AU85" i="33"/>
  <c r="AT85" i="33"/>
  <c r="AS85" i="33"/>
  <c r="AU83" i="33"/>
  <c r="AT83" i="33"/>
  <c r="AS83" i="33"/>
  <c r="AU81" i="33"/>
  <c r="AT81" i="33"/>
  <c r="AS81" i="33"/>
  <c r="AU79" i="33"/>
  <c r="AT79" i="33"/>
  <c r="AS79" i="33"/>
  <c r="AU77" i="33"/>
  <c r="AT77" i="33"/>
  <c r="AS77" i="33"/>
  <c r="AU75" i="33"/>
  <c r="AT75" i="33"/>
  <c r="AS75" i="33"/>
  <c r="AU73" i="33"/>
  <c r="AT73" i="33"/>
  <c r="AS73" i="33"/>
  <c r="AU71" i="33"/>
  <c r="AT71" i="33"/>
  <c r="AS71" i="33"/>
  <c r="AU69" i="33"/>
  <c r="AT69" i="33"/>
  <c r="AS69" i="33"/>
  <c r="AU67" i="33"/>
  <c r="AT67" i="33"/>
  <c r="AS67" i="33"/>
  <c r="AU65" i="33"/>
  <c r="AT65" i="33"/>
  <c r="AS65" i="33"/>
  <c r="AU63" i="33"/>
  <c r="AT63" i="33"/>
  <c r="AS63" i="33"/>
  <c r="AU61" i="33"/>
  <c r="AT61" i="33"/>
  <c r="AS61" i="33"/>
  <c r="AU59" i="33"/>
  <c r="AT59" i="33"/>
  <c r="AS59" i="33"/>
  <c r="AU57" i="33"/>
  <c r="AT57" i="33"/>
  <c r="AS57" i="33"/>
  <c r="AU55" i="33"/>
  <c r="AT55" i="33"/>
  <c r="AS55" i="33"/>
  <c r="AU53" i="33"/>
  <c r="AT53" i="33"/>
  <c r="AS53" i="33"/>
  <c r="AU51" i="33"/>
  <c r="AT51" i="33"/>
  <c r="AS51" i="33"/>
  <c r="AU49" i="33"/>
  <c r="AT49" i="33"/>
  <c r="AS49" i="33"/>
  <c r="AU47" i="33"/>
  <c r="AT47" i="33"/>
  <c r="AS47" i="33"/>
  <c r="AU45" i="33"/>
  <c r="AT45" i="33"/>
  <c r="AS45" i="33"/>
  <c r="AU43" i="33"/>
  <c r="AT43" i="33"/>
  <c r="AS43" i="33"/>
  <c r="AU41" i="33"/>
  <c r="AT41" i="33"/>
  <c r="AS41" i="33"/>
  <c r="AU40" i="33"/>
  <c r="AU39" i="33"/>
  <c r="AT39" i="33"/>
  <c r="AS39" i="33"/>
  <c r="AU38" i="33"/>
  <c r="AU37" i="33"/>
  <c r="AT37" i="33"/>
  <c r="AS37" i="33"/>
  <c r="AU36" i="33"/>
  <c r="AU35" i="33"/>
  <c r="AT35" i="33"/>
  <c r="AS35" i="33"/>
  <c r="AU34" i="33"/>
  <c r="AU33" i="33"/>
  <c r="AT33" i="33"/>
  <c r="AS33" i="33"/>
  <c r="AU32" i="33"/>
  <c r="AU31" i="33"/>
  <c r="AT31" i="33"/>
  <c r="AS31" i="33"/>
  <c r="AU30" i="33"/>
  <c r="AU29" i="33"/>
  <c r="AT29" i="33"/>
  <c r="AS29" i="33"/>
  <c r="AU28" i="33"/>
  <c r="AU27" i="33"/>
  <c r="AT27" i="33"/>
  <c r="AS27" i="33"/>
  <c r="AU26" i="33"/>
  <c r="AU25" i="33"/>
  <c r="AT25" i="33"/>
  <c r="AS25" i="33"/>
  <c r="AU24" i="33"/>
  <c r="AU23" i="33"/>
  <c r="AT23" i="33"/>
  <c r="AS23" i="33"/>
  <c r="AU22" i="33"/>
  <c r="AU21" i="33"/>
  <c r="AT21" i="33"/>
  <c r="AS21" i="33"/>
  <c r="AU20" i="33"/>
  <c r="AU19" i="33"/>
  <c r="AT19" i="33"/>
  <c r="AS19" i="33"/>
  <c r="AU18" i="33"/>
  <c r="AU17" i="33"/>
  <c r="AT17" i="33"/>
  <c r="AS17" i="33"/>
  <c r="AU16" i="33"/>
  <c r="AU15" i="33"/>
  <c r="AT15" i="33"/>
  <c r="AS15" i="33"/>
  <c r="AU14" i="33"/>
  <c r="AU13" i="33"/>
  <c r="AT13" i="33"/>
  <c r="AS13" i="33"/>
  <c r="AU12" i="33"/>
  <c r="AU11" i="33"/>
  <c r="AT11" i="33"/>
  <c r="AS11" i="33"/>
  <c r="AU10" i="33"/>
  <c r="AU9" i="33"/>
  <c r="AT9" i="33"/>
  <c r="AS9" i="33"/>
  <c r="AU8" i="33"/>
  <c r="AU7" i="33"/>
  <c r="AT7" i="33"/>
  <c r="AS7" i="33"/>
  <c r="AU6" i="33"/>
  <c r="AU5" i="33"/>
  <c r="AT5" i="33"/>
  <c r="AS5" i="33"/>
  <c r="AU4" i="33"/>
  <c r="AU3" i="33"/>
  <c r="AT3" i="33"/>
  <c r="AS3" i="33"/>
  <c r="AU2" i="33"/>
  <c r="AU1" i="33"/>
  <c r="AT1" i="33"/>
  <c r="AS1" i="33"/>
  <c r="C1" i="8" l="1"/>
  <c r="E81" i="8" l="1"/>
  <c r="E90" i="8" l="1"/>
  <c r="A90" i="8"/>
  <c r="D90" i="8" l="1"/>
  <c r="A75" i="8"/>
  <c r="A73" i="8"/>
  <c r="C73" i="8" s="1"/>
  <c r="A67" i="8"/>
  <c r="C75" i="8" l="1"/>
  <c r="A71" i="8"/>
  <c r="C71" i="8" s="1"/>
  <c r="A69" i="8"/>
  <c r="C69" i="8" s="1"/>
  <c r="C67" i="8"/>
  <c r="A44" i="8" l="1"/>
  <c r="C44" i="8" s="1"/>
  <c r="A42" i="8"/>
  <c r="C42" i="8" s="1"/>
  <c r="A40" i="8"/>
  <c r="C40" i="8" s="1"/>
  <c r="A38" i="8"/>
  <c r="C38" i="8" s="1"/>
  <c r="A36" i="8"/>
  <c r="C36" i="8" s="1"/>
  <c r="O77" i="8" l="1"/>
  <c r="AY37" i="8" l="1"/>
  <c r="AY39" i="8"/>
  <c r="AY41" i="8"/>
  <c r="AY43" i="8"/>
  <c r="AY45" i="8"/>
  <c r="AY707" i="8"/>
  <c r="AY709" i="8"/>
  <c r="AY711" i="8"/>
  <c r="AY713" i="8"/>
  <c r="AY715" i="8"/>
  <c r="AY719" i="8"/>
  <c r="AY721" i="8"/>
  <c r="AY723" i="8"/>
  <c r="AY725" i="8"/>
  <c r="AY727" i="8"/>
  <c r="AY729" i="8"/>
  <c r="AY731" i="8"/>
  <c r="AY733" i="8"/>
  <c r="AY735" i="8"/>
  <c r="AY737" i="8"/>
  <c r="AY739" i="8"/>
  <c r="AY741" i="8"/>
  <c r="AY743" i="8"/>
  <c r="AY745" i="8"/>
  <c r="AY747" i="8"/>
  <c r="AY749" i="8"/>
  <c r="AY751" i="8"/>
  <c r="AY753" i="8"/>
  <c r="AY755" i="8"/>
  <c r="AY757" i="8"/>
  <c r="AY759" i="8"/>
  <c r="AY761" i="8"/>
  <c r="AY763" i="8"/>
  <c r="AY765" i="8"/>
  <c r="AY767" i="8"/>
  <c r="AY769" i="8"/>
  <c r="AY771" i="8"/>
  <c r="AY773" i="8"/>
  <c r="AY775" i="8"/>
  <c r="AY777" i="8"/>
  <c r="AY779" i="8"/>
  <c r="AY781" i="8"/>
  <c r="AY783" i="8"/>
  <c r="AY785" i="8"/>
  <c r="AY787" i="8"/>
  <c r="AY789" i="8"/>
  <c r="AY799" i="8"/>
  <c r="AY797" i="8"/>
  <c r="AY795" i="8"/>
  <c r="AY793" i="8"/>
  <c r="AY791" i="8"/>
  <c r="H65" i="8"/>
  <c r="G65" i="8"/>
  <c r="AX44" i="8" l="1"/>
  <c r="AX42" i="8"/>
  <c r="AX40" i="8"/>
  <c r="AX38" i="8"/>
  <c r="AX36" i="8"/>
  <c r="H34" i="8" l="1"/>
  <c r="G34" i="8"/>
  <c r="AU749" i="8" l="1"/>
  <c r="AT749" i="8"/>
  <c r="AS749" i="8"/>
  <c r="AU747" i="8"/>
  <c r="AT747" i="8"/>
  <c r="AS747" i="8"/>
  <c r="AU745" i="8"/>
  <c r="AT745" i="8"/>
  <c r="AS745" i="8"/>
  <c r="AU743" i="8"/>
  <c r="AT743" i="8"/>
  <c r="AS743" i="8"/>
  <c r="AU741" i="8"/>
  <c r="AT741" i="8"/>
  <c r="AS741" i="8"/>
  <c r="AU739" i="8"/>
  <c r="AT739" i="8"/>
  <c r="AS739" i="8"/>
  <c r="AU737" i="8"/>
  <c r="AT737" i="8"/>
  <c r="AS737" i="8"/>
  <c r="AU735" i="8"/>
  <c r="AT735" i="8"/>
  <c r="AS735" i="8"/>
  <c r="AU733" i="8"/>
  <c r="AT733" i="8"/>
  <c r="AS733" i="8"/>
  <c r="AT725" i="8"/>
  <c r="AT731" i="8"/>
  <c r="AU731" i="8"/>
  <c r="AS731" i="8"/>
  <c r="AU729" i="8"/>
  <c r="AT729" i="8"/>
  <c r="AS729" i="8"/>
  <c r="AU727" i="8"/>
  <c r="AT727" i="8"/>
  <c r="AS727" i="8"/>
  <c r="AU725" i="8"/>
  <c r="AS725" i="8"/>
  <c r="AU723" i="8"/>
  <c r="AT723" i="8"/>
  <c r="AS723" i="8"/>
  <c r="AU721" i="8"/>
  <c r="AT721" i="8"/>
  <c r="AS721" i="8"/>
  <c r="AU719" i="8"/>
  <c r="AT719" i="8"/>
  <c r="AS719" i="8"/>
  <c r="AU715" i="8"/>
  <c r="AT715" i="8"/>
  <c r="AS715" i="8"/>
  <c r="AU713" i="8"/>
  <c r="AT713" i="8"/>
  <c r="AS713" i="8"/>
  <c r="AU711" i="8"/>
  <c r="AT711" i="8"/>
  <c r="AS711" i="8"/>
  <c r="AU709" i="8"/>
  <c r="AU707" i="8"/>
  <c r="AT709" i="8"/>
  <c r="AS709" i="8"/>
  <c r="AT707" i="8"/>
  <c r="AS707" i="8"/>
  <c r="AU45" i="8"/>
  <c r="AT45" i="8"/>
  <c r="AS45" i="8"/>
  <c r="AU43" i="8"/>
  <c r="AT43" i="8"/>
  <c r="AS43" i="8"/>
  <c r="AU41" i="8"/>
  <c r="AT41" i="8"/>
  <c r="AS41" i="8"/>
  <c r="AS39" i="8"/>
  <c r="A12" i="8" l="1"/>
  <c r="AN7" i="8" l="1"/>
  <c r="AN10" i="8"/>
  <c r="AU40" i="8" l="1"/>
  <c r="AU39" i="8"/>
  <c r="AU38" i="8"/>
  <c r="AU37" i="8"/>
  <c r="AU36" i="8"/>
  <c r="AU35" i="8"/>
  <c r="AU34" i="8"/>
  <c r="AU33" i="8"/>
  <c r="AU32" i="8"/>
  <c r="AU31" i="8"/>
  <c r="AU30" i="8"/>
  <c r="AU29" i="8"/>
  <c r="AU28" i="8"/>
  <c r="AU27" i="8"/>
  <c r="AU26" i="8"/>
  <c r="AU25" i="8"/>
  <c r="AU24" i="8"/>
  <c r="AU23" i="8"/>
  <c r="AU22" i="8"/>
  <c r="AU21" i="8"/>
  <c r="AU20" i="8"/>
  <c r="AU19" i="8"/>
  <c r="AU18" i="8"/>
  <c r="AU17" i="8"/>
  <c r="AU16" i="8"/>
  <c r="AU15" i="8"/>
  <c r="AU14" i="8"/>
  <c r="AU13" i="8"/>
  <c r="AU11" i="8"/>
  <c r="AU9" i="8"/>
  <c r="AU7" i="8"/>
  <c r="AU12" i="8"/>
  <c r="AU10" i="8"/>
  <c r="AU8" i="8"/>
  <c r="AU6" i="8"/>
  <c r="AU5" i="8"/>
  <c r="AU4" i="8"/>
  <c r="AU3" i="8"/>
  <c r="AU2" i="8"/>
  <c r="AU1" i="8"/>
  <c r="AT39" i="8"/>
  <c r="AT37" i="8"/>
  <c r="AT35" i="8"/>
  <c r="AT33" i="8"/>
  <c r="AT31" i="8"/>
  <c r="AT29" i="8"/>
  <c r="AT27" i="8"/>
  <c r="AT25" i="8"/>
  <c r="AT23" i="8"/>
  <c r="AT21" i="8"/>
  <c r="AT19" i="8"/>
  <c r="AT17" i="8"/>
  <c r="AT15" i="8"/>
  <c r="AT13" i="8"/>
  <c r="AT11" i="8"/>
  <c r="AT9" i="8"/>
  <c r="AT7" i="8"/>
  <c r="AT5" i="8"/>
  <c r="AT3" i="8"/>
  <c r="AT1" i="8"/>
  <c r="AS37" i="8"/>
  <c r="AS35" i="8"/>
  <c r="AS33" i="8"/>
  <c r="AS31" i="8"/>
  <c r="AS29" i="8"/>
  <c r="AS27" i="8"/>
  <c r="AS25" i="8"/>
  <c r="AS23" i="8"/>
  <c r="AS21" i="8"/>
  <c r="AS19" i="8"/>
  <c r="AS17" i="8"/>
  <c r="AS15" i="8"/>
  <c r="AS13" i="8"/>
  <c r="AS11" i="8"/>
  <c r="AS9" i="8"/>
  <c r="AS7" i="8"/>
  <c r="AS5" i="8"/>
  <c r="AS3" i="8"/>
  <c r="AS1" i="8"/>
  <c r="AN16" i="8" l="1"/>
  <c r="G7" i="8" s="1"/>
  <c r="AN9" i="8" l="1"/>
  <c r="AN8" i="8"/>
  <c r="E16" i="8" l="1"/>
  <c r="L6" i="8"/>
  <c r="N30" i="8" l="1"/>
  <c r="K30" i="8"/>
  <c r="J30" i="8"/>
  <c r="I30" i="8"/>
  <c r="F28" i="8"/>
  <c r="K19" i="8"/>
  <c r="N17" i="8"/>
  <c r="N16" i="8"/>
  <c r="O12" i="8"/>
  <c r="L12" i="8"/>
  <c r="H12" i="8"/>
  <c r="F12" i="8"/>
  <c r="N6" i="8"/>
  <c r="K6" i="8"/>
  <c r="I19" i="8" l="1"/>
  <c r="M6" i="8" l="1"/>
  <c r="O6" i="8" l="1"/>
  <c r="H16" i="13" l="1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19" i="8"/>
  <c r="K12" i="8"/>
  <c r="I12" i="8"/>
  <c r="O30" i="8" l="1"/>
  <c r="F20" i="8" l="1"/>
  <c r="F27" i="8" l="1"/>
  <c r="N12" i="8"/>
  <c r="M12" i="8"/>
  <c r="J12" i="8"/>
  <c r="G12" i="8"/>
</calcChain>
</file>

<file path=xl/sharedStrings.xml><?xml version="1.0" encoding="utf-8"?>
<sst xmlns="http://schemas.openxmlformats.org/spreadsheetml/2006/main" count="1571" uniqueCount="916">
  <si>
    <t>GENERAL INFORMATION</t>
  </si>
  <si>
    <t>DATE</t>
  </si>
  <si>
    <t>DAYS ON WELL</t>
  </si>
  <si>
    <t>WELL NAME</t>
  </si>
  <si>
    <t>OPERATOR</t>
  </si>
  <si>
    <t>RIG</t>
  </si>
  <si>
    <t>COUNTRY</t>
  </si>
  <si>
    <t>DEVIATION DATA</t>
  </si>
  <si>
    <t>BOP STACK COMPOSITION</t>
  </si>
  <si>
    <t>SIZE</t>
  </si>
  <si>
    <t>MAKE AND TYPE</t>
  </si>
  <si>
    <t>FORMATION DRILLED</t>
  </si>
  <si>
    <t>BHA DESCRIPTION</t>
  </si>
  <si>
    <t>BIT NR</t>
  </si>
  <si>
    <t>MAKE</t>
  </si>
  <si>
    <t>TYPE</t>
  </si>
  <si>
    <t>SER. NR</t>
  </si>
  <si>
    <t>NOZZLES</t>
  </si>
  <si>
    <t>MUD PUMPS</t>
  </si>
  <si>
    <t>NR</t>
  </si>
  <si>
    <t>MODEL</t>
  </si>
  <si>
    <t>CASING STRING</t>
  </si>
  <si>
    <t>MUD RECORD</t>
  </si>
  <si>
    <t>LAST BOP TEST</t>
  </si>
  <si>
    <t>DRILL LINE</t>
  </si>
  <si>
    <t>TIMING</t>
  </si>
  <si>
    <t>HOURS</t>
  </si>
  <si>
    <t>DESCRIPTION OF OPERATION</t>
  </si>
  <si>
    <t>OP</t>
  </si>
  <si>
    <t>REP</t>
  </si>
  <si>
    <t>ZERO</t>
  </si>
  <si>
    <t>MAN WORKED HR / MONTH</t>
  </si>
  <si>
    <t>MAN WORKED HR / YEAR</t>
  </si>
  <si>
    <t>RIG WORKED DAYS / YEAR</t>
  </si>
  <si>
    <t>RIG MAINTENANCE</t>
  </si>
  <si>
    <t>SIZE &amp; TYPE</t>
  </si>
  <si>
    <t>NR OF LINES</t>
  </si>
  <si>
    <t>LINER x STK</t>
  </si>
  <si>
    <t>GRADE</t>
  </si>
  <si>
    <t>RIG WORKED DAYS / MONTH</t>
  </si>
  <si>
    <t>FM</t>
  </si>
  <si>
    <t>STB</t>
  </si>
  <si>
    <t>LAST LTI DATE</t>
  </si>
  <si>
    <t>SAIPEM EXP</t>
  </si>
  <si>
    <t>SAIPEM LOC</t>
  </si>
  <si>
    <t>COMPANY</t>
  </si>
  <si>
    <t>CATERING</t>
  </si>
  <si>
    <t>COMPANY SUBCO</t>
  </si>
  <si>
    <t>SAIPEM SUBCO</t>
  </si>
  <si>
    <t>DAILY RIG OPERATIONS REPORT - ONSHORE</t>
  </si>
  <si>
    <t>CRANE</t>
  </si>
  <si>
    <t>TON</t>
  </si>
  <si>
    <t>EXTRA TIME</t>
  </si>
  <si>
    <t>Diesel/Kw Consumption</t>
  </si>
  <si>
    <t>Units A</t>
  </si>
  <si>
    <t>KW done</t>
  </si>
  <si>
    <t>Gr/KW</t>
  </si>
  <si>
    <t>FORM N.</t>
  </si>
  <si>
    <t>LOG N.</t>
  </si>
  <si>
    <t>ARCHIVE</t>
  </si>
  <si>
    <t>PAGES</t>
  </si>
  <si>
    <t xml:space="preserve"> LOADS</t>
  </si>
  <si>
    <t>Total Loads</t>
  </si>
  <si>
    <t>RIG DOWN</t>
  </si>
  <si>
    <t>RIG UP</t>
  </si>
  <si>
    <t>RIG MOVE</t>
  </si>
  <si>
    <t>CRANE OLD  LOC</t>
  </si>
  <si>
    <t xml:space="preserve"> TRUCK</t>
  </si>
  <si>
    <t>daily</t>
  </si>
  <si>
    <t>total</t>
  </si>
  <si>
    <t>CRANE NEW  LOC</t>
  </si>
  <si>
    <t>CAMP</t>
  </si>
  <si>
    <t>CLIENT</t>
  </si>
  <si>
    <t>Start (hh:mm)</t>
  </si>
  <si>
    <t>Finish (hh:mm)</t>
  </si>
  <si>
    <t>OTHER SECTIONS</t>
  </si>
  <si>
    <t>REPORT  NR</t>
  </si>
  <si>
    <t>WELL START DATE</t>
  </si>
  <si>
    <t>WELL END DATE</t>
  </si>
  <si>
    <t>HSE REPORT</t>
  </si>
  <si>
    <t>DAILY ACCIDENT NUMBER</t>
  </si>
  <si>
    <t>LTI FREE DAYS</t>
  </si>
  <si>
    <t>CLIENT REPRESENTATIVE</t>
  </si>
  <si>
    <t>FUEL CONSUMPTION</t>
  </si>
  <si>
    <t>PLATFORM MANAGER / RIG SUPERINTENDENT</t>
  </si>
  <si>
    <t xml:space="preserve">CRANE </t>
  </si>
  <si>
    <t>ITALY</t>
  </si>
  <si>
    <t>GERMANY</t>
  </si>
  <si>
    <t>FRANCE</t>
  </si>
  <si>
    <t>SPAIN</t>
  </si>
  <si>
    <t>ANGOLA</t>
  </si>
  <si>
    <t>SAUDI ARABIA</t>
  </si>
  <si>
    <t>SUNNY</t>
  </si>
  <si>
    <t>CLOUDY</t>
  </si>
  <si>
    <t>RAINY</t>
  </si>
  <si>
    <t>WEATHER SKY</t>
  </si>
  <si>
    <t>AFGHANISTAN</t>
  </si>
  <si>
    <t>ALBANIA</t>
  </si>
  <si>
    <t>ALGERIA</t>
  </si>
  <si>
    <t>ANDORRA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</si>
  <si>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</si>
  <si>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</si>
  <si>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</si>
  <si>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</si>
  <si>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</si>
  <si>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</si>
  <si>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</si>
  <si>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</si>
  <si>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</si>
  <si>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</si>
  <si>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</si>
  <si>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</si>
  <si>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</si>
  <si>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</si>
  <si>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</si>
  <si>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</si>
  <si>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</si>
  <si>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</si>
  <si>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</si>
  <si>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</si>
  <si>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</si>
  <si>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</si>
  <si>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</si>
  <si>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</si>
  <si>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</si>
  <si>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</si>
  <si>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</si>
  <si>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</si>
  <si>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</si>
  <si>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</si>
  <si>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</si>
  <si>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</si>
  <si>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</si>
  <si>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</si>
  <si>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</si>
  <si>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</si>
  <si>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COLOMBIA</t>
  </si>
  <si>
    <t>COMOROS</t>
  </si>
  <si>
    <t>CONGO, DEMOCRATIC REPUBLIC OF THE</t>
  </si>
  <si>
    <t>CONGO, REPUBLIC OF THE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</si>
  <si>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</si>
  <si>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</si>
  <si>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</si>
  <si>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</si>
  <si>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</si>
  <si>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</si>
  <si>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</si>
  <si>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</si>
  <si>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</si>
  <si>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</si>
  <si>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</si>
  <si>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</si>
  <si>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</si>
  <si>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</si>
  <si>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</si>
  <si>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</si>
  <si>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</si>
  <si>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(ISLAS MALVINAS)</t>
  </si>
  <si>
    <t>FAROE ISLANDS</t>
  </si>
  <si>
    <t>FIJI</t>
  </si>
  <si>
    <t>FINLAND</t>
  </si>
  <si>
    <t>FRENCH GUIANA</t>
  </si>
  <si>
    <t>FRENCH POLYNESIA</t>
  </si>
  <si>
    <t>GABON</t>
  </si>
  <si>
    <t>GAMBIA, THE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</si>
  <si>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</si>
  <si>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</si>
  <si>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</si>
  <si>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</si>
  <si>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</si>
  <si>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</si>
  <si>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</si>
  <si>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</si>
  <si>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</si>
  <si>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</si>
  <si>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</si>
  <si>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</si>
  <si>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</si>
  <si>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</si>
  <si>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</si>
  <si>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</si>
  <si>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</si>
  <si>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</si>
  <si>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</si>
  <si>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</si>
  <si>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</si>
  <si>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</si>
  <si>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</si>
  <si>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</si>
  <si>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</si>
  <si>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</si>
  <si>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</si>
  <si>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</si>
  <si>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</si>
  <si>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</si>
  <si>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</si>
  <si>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</si>
  <si>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</si>
  <si>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</si>
  <si>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</si>
  <si>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</si>
  <si>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</si>
  <si>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</si>
  <si>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</si>
  <si>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</si>
  <si>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</si>
  <si>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</si>
  <si>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</si>
  <si>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</si>
  <si>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</si>
  <si>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</si>
  <si>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</si>
  <si>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</si>
  <si>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</si>
  <si>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</si>
  <si>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</si>
  <si>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</si>
  <si>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</si>
  <si>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</si>
  <si>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</si>
  <si>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</si>
  <si>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</si>
  <si>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</t>
  </si>
  <si>
    <t>MONACO</t>
  </si>
  <si>
    <t>MONGOLIA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</si>
  <si>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</si>
  <si>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</si>
  <si>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</si>
  <si>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</si>
  <si>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</si>
  <si>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</si>
  <si>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</si>
  <si>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</si>
  <si>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</si>
  <si>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</si>
  <si>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</si>
  <si>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</si>
  <si>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</si>
  <si>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</si>
  <si>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</si>
  <si>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</si>
  <si>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</si>
  <si>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</si>
  <si>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</si>
  <si>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</si>
  <si>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</si>
  <si>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</si>
  <si>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</si>
  <si>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</si>
  <si>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REUNION</t>
  </si>
  <si>
    <t>ROMANIA</t>
  </si>
  <si>
    <t>RUSSIA</t>
  </si>
  <si>
    <t>RWANDA</t>
  </si>
  <si>
    <t>SAINT HELENA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</si>
  <si>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</si>
  <si>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</si>
  <si>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</si>
  <si>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</si>
  <si>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</si>
  <si>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</si>
  <si>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SENEGAL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</si>
  <si>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</si>
  <si>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</si>
  <si>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</si>
  <si>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</si>
  <si>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</si>
  <si>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</si>
  <si>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</si>
  <si>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</si>
  <si>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</si>
  <si>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</si>
  <si>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</si>
  <si>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</si>
  <si>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</si>
  <si>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</si>
  <si>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</si>
  <si>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</si>
  <si>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</si>
  <si>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</si>
  <si>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</si>
  <si>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</si>
  <si>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</si>
  <si>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</si>
  <si>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</si>
  <si>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</si>
  <si>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</si>
  <si>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</si>
  <si>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</si>
  <si>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</si>
  <si>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</si>
  <si>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</si>
  <si>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</si>
  <si>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</si>
  <si>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</si>
  <si>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</si>
  <si>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</si>
  <si>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</si>
  <si>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</si>
  <si>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WESTERN SAHARA</t>
  </si>
  <si>
    <t>YEMEN</t>
  </si>
  <si>
    <t>ZAMBIA</t>
  </si>
  <si>
    <t>ZIMBABWE</t>
  </si>
  <si>
    <t>UOM</t>
  </si>
  <si>
    <t>DEPTH IN</t>
  </si>
  <si>
    <t>DEPTH OUT</t>
  </si>
  <si>
    <t>COUNTRY LIST</t>
  </si>
  <si>
    <t>MONTENEGRO</t>
  </si>
  <si>
    <t>SERBIA</t>
  </si>
  <si>
    <t>CODE LIST</t>
  </si>
  <si>
    <t>RIG LIST</t>
  </si>
  <si>
    <t>UOM START</t>
  </si>
  <si>
    <t>UOM FINISH</t>
  </si>
  <si>
    <t>m</t>
  </si>
  <si>
    <t>ft</t>
  </si>
  <si>
    <t>tons</t>
  </si>
  <si>
    <t>lpm</t>
  </si>
  <si>
    <t>gpm</t>
  </si>
  <si>
    <t>lbs</t>
  </si>
  <si>
    <t>ppg</t>
  </si>
  <si>
    <t>kg/lt</t>
  </si>
  <si>
    <t>m3</t>
  </si>
  <si>
    <t>bbls</t>
  </si>
  <si>
    <t>°C</t>
  </si>
  <si>
    <t>32+(°C*1,8)</t>
  </si>
  <si>
    <t>°F</t>
  </si>
  <si>
    <t>(°F-32)*0,5556</t>
  </si>
  <si>
    <t>BIT REPORT</t>
  </si>
  <si>
    <t>RIG LINE</t>
  </si>
  <si>
    <t>RIG A</t>
  </si>
  <si>
    <t>RIG B</t>
  </si>
  <si>
    <t>equals to</t>
  </si>
  <si>
    <t>CONVERTER</t>
  </si>
  <si>
    <t>1. Rig up and Tear Down</t>
  </si>
  <si>
    <t>2. Drill Actual</t>
  </si>
  <si>
    <t>4. Coring</t>
  </si>
  <si>
    <t>5. Condition Mud &amp; Circulate</t>
  </si>
  <si>
    <t>6. Trips</t>
  </si>
  <si>
    <t>7. Lubricate Rig</t>
  </si>
  <si>
    <t>8. Repair Rig</t>
  </si>
  <si>
    <t>9. Cut Off Drilling Line</t>
  </si>
  <si>
    <t>10. Deviation Survey</t>
  </si>
  <si>
    <t>11. Wire Line Logs</t>
  </si>
  <si>
    <t>12. Run Casing &amp; Cement</t>
  </si>
  <si>
    <t>13. Wait On Cement</t>
  </si>
  <si>
    <t>14. Nipple Up B.O.P</t>
  </si>
  <si>
    <t>15. Test B.O.P.</t>
  </si>
  <si>
    <t>17. Plug Back</t>
  </si>
  <si>
    <t>18. Squeeze Cement</t>
  </si>
  <si>
    <t>19. Fishing</t>
  </si>
  <si>
    <t>20. Directional Work</t>
  </si>
  <si>
    <t>21. Other</t>
  </si>
  <si>
    <t>22. Other 2</t>
  </si>
  <si>
    <t>A. Perforating</t>
  </si>
  <si>
    <t>B. Tubing Trips</t>
  </si>
  <si>
    <t>C. Treating</t>
  </si>
  <si>
    <t>D. Swabbing</t>
  </si>
  <si>
    <t>STATUS</t>
  </si>
  <si>
    <t>MOVING</t>
  </si>
  <si>
    <t>MAINTENANCE</t>
  </si>
  <si>
    <t>DRILLING</t>
  </si>
  <si>
    <t>OTHER</t>
  </si>
  <si>
    <t>PART. CLOUDY</t>
  </si>
  <si>
    <t>SNOWY</t>
  </si>
  <si>
    <t>COMPLETION</t>
  </si>
  <si>
    <t>WORKOVER</t>
  </si>
  <si>
    <t>WELL TESTING</t>
  </si>
  <si>
    <t>IDLE</t>
  </si>
  <si>
    <t>km</t>
  </si>
  <si>
    <t>miles</t>
  </si>
  <si>
    <t>DAILY SHOC CARD</t>
  </si>
  <si>
    <t>BLOCK NUMBER</t>
  </si>
  <si>
    <t>Equipo 1</t>
  </si>
  <si>
    <t>Equipo 2</t>
  </si>
  <si>
    <t>PLUS 1</t>
  </si>
  <si>
    <t>PLUS 2</t>
  </si>
  <si>
    <t>PP-101</t>
  </si>
  <si>
    <t>PTX 1</t>
  </si>
  <si>
    <t>PTX 11</t>
  </si>
  <si>
    <t>PTX 115</t>
  </si>
  <si>
    <t>PTX 116</t>
  </si>
  <si>
    <t>PTX 12</t>
  </si>
  <si>
    <t>PTX 13</t>
  </si>
  <si>
    <t>PTX 14</t>
  </si>
  <si>
    <t>PTX 15</t>
  </si>
  <si>
    <t>PTX 16</t>
  </si>
  <si>
    <t>PTX 19</t>
  </si>
  <si>
    <t>PTX 2</t>
  </si>
  <si>
    <t>PTX 20</t>
  </si>
  <si>
    <t>PTX 22</t>
  </si>
  <si>
    <t>PTX 23</t>
  </si>
  <si>
    <t>PTX 26</t>
  </si>
  <si>
    <t>PTX 27</t>
  </si>
  <si>
    <t>PTX 3</t>
  </si>
  <si>
    <t>PTX 4</t>
  </si>
  <si>
    <t>PTX 5</t>
  </si>
  <si>
    <t>PTX 6</t>
  </si>
  <si>
    <t>PTX 7</t>
  </si>
  <si>
    <t>PTX 8</t>
  </si>
  <si>
    <t>PTX 9</t>
  </si>
  <si>
    <t>N</t>
  </si>
  <si>
    <t>S</t>
  </si>
  <si>
    <t>W</t>
  </si>
  <si>
    <t>E</t>
  </si>
  <si>
    <t>NORTH/SOUTH</t>
  </si>
  <si>
    <t>WEST/EAST</t>
  </si>
  <si>
    <t>DEGREES</t>
  </si>
  <si>
    <t xml:space="preserve">MINUTES </t>
  </si>
  <si>
    <t>SECONDS</t>
  </si>
  <si>
    <t>COORDINATE</t>
  </si>
  <si>
    <t>MINUTES</t>
  </si>
  <si>
    <t>POSITION (LATITUDE/LONGITUDE)</t>
  </si>
  <si>
    <t>LATITUDE</t>
  </si>
  <si>
    <t>LONGITUDE</t>
  </si>
  <si>
    <t>BONAIRE</t>
  </si>
  <si>
    <t>MYANMAR</t>
  </si>
  <si>
    <t>PALESTINIAN TERRITORY</t>
  </si>
  <si>
    <t>SOUTH SUDAN</t>
  </si>
  <si>
    <t>UNITED STATES MINOR OUTLYING ISLANDS</t>
  </si>
  <si>
    <t>FIELD</t>
  </si>
  <si>
    <t>METRIC</t>
  </si>
  <si>
    <t>AMERICAN</t>
  </si>
  <si>
    <t>MEASURED DEPTH</t>
  </si>
  <si>
    <t>FOOTAGE</t>
  </si>
  <si>
    <t>ROP</t>
  </si>
  <si>
    <t>m/hrs</t>
  </si>
  <si>
    <t>ft/hrs</t>
  </si>
  <si>
    <t>ton/km daily</t>
  </si>
  <si>
    <t>ton/mile daily</t>
  </si>
  <si>
    <t>kg/l</t>
  </si>
  <si>
    <t>WEIGHT (MUD RECORD)</t>
  </si>
  <si>
    <t>TARGET DEPTH (GENERAL INFORMATION)</t>
  </si>
  <si>
    <t>WOB (DRILLING PARAMETERS)</t>
  </si>
  <si>
    <t>FLOW RATE (DRILLING PARAMETERS)</t>
  </si>
  <si>
    <t>VERTICAL DEPTH (DEVIATION DATA)</t>
  </si>
  <si>
    <t>MD (DEVIATION DATA)</t>
  </si>
  <si>
    <t>LENGTH (BHA DESCRIPTION)</t>
  </si>
  <si>
    <t>WEIGHT (BHA DESCRIPTION)</t>
  </si>
  <si>
    <t>SHOE @ (CASING STRING)</t>
  </si>
  <si>
    <t>DRILLED (BIT REPORT)</t>
  </si>
  <si>
    <t>DAILY (DRILL LINE)</t>
  </si>
  <si>
    <t>TOTAL (DRILL LINE)</t>
  </si>
  <si>
    <t>SINCE LAST CUT (DRILL LINE)</t>
  </si>
  <si>
    <t>CONTRACT RATE</t>
  </si>
  <si>
    <t>IADC CODE</t>
  </si>
  <si>
    <t>PERSONNEL ON BOARD</t>
  </si>
  <si>
    <t>CONTRACT NUMBER</t>
  </si>
  <si>
    <t>SHOWHIDESECTION</t>
  </si>
  <si>
    <t>B58</t>
  </si>
  <si>
    <t>A58</t>
  </si>
  <si>
    <t>C$56</t>
  </si>
  <si>
    <t>C$58</t>
  </si>
  <si>
    <t>B62</t>
  </si>
  <si>
    <t>A62</t>
  </si>
  <si>
    <t>C$60</t>
  </si>
  <si>
    <t>B64</t>
  </si>
  <si>
    <t>C$62</t>
  </si>
  <si>
    <t>B66</t>
  </si>
  <si>
    <t>C$64</t>
  </si>
  <si>
    <t>B68</t>
  </si>
  <si>
    <t>C$66</t>
  </si>
  <si>
    <t>B70</t>
  </si>
  <si>
    <t>C$68</t>
  </si>
  <si>
    <t>B72</t>
  </si>
  <si>
    <t>a72</t>
  </si>
  <si>
    <t>C$70</t>
  </si>
  <si>
    <t>B74</t>
  </si>
  <si>
    <t>a74</t>
  </si>
  <si>
    <t>C$72</t>
  </si>
  <si>
    <t>a76</t>
  </si>
  <si>
    <t>C$74</t>
  </si>
  <si>
    <t>a78</t>
  </si>
  <si>
    <t>C$76</t>
  </si>
  <si>
    <t>a80</t>
  </si>
  <si>
    <t>C$78</t>
  </si>
  <si>
    <t>a82</t>
  </si>
  <si>
    <t>C$80</t>
  </si>
  <si>
    <t>a84</t>
  </si>
  <si>
    <t>C$82</t>
  </si>
  <si>
    <t>B46</t>
  </si>
  <si>
    <t>B48</t>
  </si>
  <si>
    <t>B50</t>
  </si>
  <si>
    <t>B52</t>
  </si>
  <si>
    <t>B54</t>
  </si>
  <si>
    <t>B56</t>
  </si>
  <si>
    <t>b76</t>
  </si>
  <si>
    <t>b78</t>
  </si>
  <si>
    <t>b80</t>
  </si>
  <si>
    <t>b82</t>
  </si>
  <si>
    <t>A46</t>
  </si>
  <si>
    <t>A48</t>
  </si>
  <si>
    <t>A50</t>
  </si>
  <si>
    <t>A52</t>
  </si>
  <si>
    <t>A54</t>
  </si>
  <si>
    <t>A56</t>
  </si>
  <si>
    <t>A64</t>
  </si>
  <si>
    <t>A66</t>
  </si>
  <si>
    <t>A68</t>
  </si>
  <si>
    <t>A70</t>
  </si>
  <si>
    <t>C$44</t>
  </si>
  <si>
    <t>C$46</t>
  </si>
  <si>
    <t>C$48</t>
  </si>
  <si>
    <t>C$50</t>
  </si>
  <si>
    <t>C$52</t>
  </si>
  <si>
    <t>C$54</t>
  </si>
  <si>
    <t>c$66</t>
  </si>
  <si>
    <t>c$72</t>
  </si>
  <si>
    <t>b84</t>
  </si>
  <si>
    <t>3. Reaming</t>
  </si>
  <si>
    <t>HEADING</t>
  </si>
  <si>
    <t>OFFSET POSITION</t>
  </si>
  <si>
    <t>ROLL</t>
  </si>
  <si>
    <t>PITCH</t>
  </si>
  <si>
    <t>MEAN</t>
  </si>
  <si>
    <t>MAX</t>
  </si>
  <si>
    <t>HEAVE</t>
  </si>
  <si>
    <t>MONTHLY
MAINTENANCE / REPAIR HOURS</t>
  </si>
  <si>
    <t>DAILY</t>
  </si>
  <si>
    <t>TOTAL</t>
  </si>
  <si>
    <t>OPERATIONS FROM 00:00 TO 06:00</t>
  </si>
  <si>
    <t>DESCRIPTION OF OPERATIONS</t>
  </si>
  <si>
    <t>PTX 18</t>
  </si>
  <si>
    <t>SK 575</t>
  </si>
  <si>
    <t>RATE BREAKDOWN [hh:mm]</t>
  </si>
  <si>
    <t>onshore</t>
  </si>
  <si>
    <t>ONSHORE</t>
  </si>
  <si>
    <t>DRILLING PARAMETERS</t>
  </si>
  <si>
    <t>16. Drill Stem Test</t>
  </si>
  <si>
    <t>23. (NOT under contract)</t>
  </si>
  <si>
    <t>E. Well Testing</t>
  </si>
  <si>
    <t>F. Completion</t>
  </si>
  <si>
    <t>G. Completion</t>
  </si>
  <si>
    <t>B84</t>
  </si>
  <si>
    <t>b86</t>
  </si>
  <si>
    <t>a86</t>
  </si>
  <si>
    <t>C$84</t>
  </si>
  <si>
    <t>b88</t>
  </si>
  <si>
    <t>a88</t>
  </si>
  <si>
    <t>C$86</t>
  </si>
  <si>
    <t>b90</t>
  </si>
  <si>
    <t>b92</t>
  </si>
  <si>
    <t>a90</t>
  </si>
  <si>
    <t>a92</t>
  </si>
  <si>
    <t>b94</t>
  </si>
  <si>
    <t>a94</t>
  </si>
  <si>
    <t>C$88</t>
  </si>
  <si>
    <t>C$90</t>
  </si>
  <si>
    <t>C$92</t>
  </si>
  <si>
    <t>b96</t>
  </si>
  <si>
    <t>a96</t>
  </si>
  <si>
    <t>C$94</t>
  </si>
  <si>
    <t>C$96</t>
  </si>
  <si>
    <t>b98</t>
  </si>
  <si>
    <t>a98</t>
  </si>
  <si>
    <t>b100</t>
  </si>
  <si>
    <t>a100</t>
  </si>
  <si>
    <t>C$98</t>
  </si>
  <si>
    <t>b102</t>
  </si>
  <si>
    <t>a102</t>
  </si>
  <si>
    <t>C$100</t>
  </si>
  <si>
    <t>b104</t>
  </si>
  <si>
    <t>a104</t>
  </si>
  <si>
    <t>C$102</t>
  </si>
  <si>
    <t>C$104</t>
  </si>
  <si>
    <t>b106</t>
  </si>
  <si>
    <t>a106</t>
  </si>
  <si>
    <t>b108</t>
  </si>
  <si>
    <t>a108</t>
  </si>
  <si>
    <t>C$106</t>
  </si>
  <si>
    <t>b110</t>
  </si>
  <si>
    <t>a110</t>
  </si>
  <si>
    <t>C$108</t>
  </si>
  <si>
    <t>b112</t>
  </si>
  <si>
    <t>a112</t>
  </si>
  <si>
    <t>C$110</t>
  </si>
  <si>
    <t>b114</t>
  </si>
  <si>
    <t>a114</t>
  </si>
  <si>
    <t>C$112</t>
  </si>
  <si>
    <t>b116</t>
  </si>
  <si>
    <t>a116</t>
  </si>
  <si>
    <t>C$114</t>
  </si>
  <si>
    <t>b118</t>
  </si>
  <si>
    <t>a118</t>
  </si>
  <si>
    <t>C$116</t>
  </si>
  <si>
    <t>C$118</t>
  </si>
  <si>
    <t>b120</t>
  </si>
  <si>
    <t>a120</t>
  </si>
  <si>
    <t>b122</t>
  </si>
  <si>
    <t>a122</t>
  </si>
  <si>
    <t>C$120</t>
  </si>
  <si>
    <t>b124</t>
  </si>
  <si>
    <t>a124</t>
  </si>
  <si>
    <t>C$122</t>
  </si>
  <si>
    <t>b126</t>
  </si>
  <si>
    <t>a126</t>
  </si>
  <si>
    <t>C$124</t>
  </si>
  <si>
    <t>b128</t>
  </si>
  <si>
    <t>a128</t>
  </si>
  <si>
    <t>C$126</t>
  </si>
  <si>
    <t>b130</t>
  </si>
  <si>
    <t>a130</t>
  </si>
  <si>
    <t>C$128</t>
  </si>
  <si>
    <t>b132</t>
  </si>
  <si>
    <t>a132</t>
  </si>
  <si>
    <t>C$130</t>
  </si>
  <si>
    <t>SECONDARY CODE</t>
  </si>
  <si>
    <t>1.1 JSA/Safety Meeting/Time Out</t>
  </si>
  <si>
    <t>1.2 Prepare Rig for MOB/DEMOB</t>
  </si>
  <si>
    <t>1.3 Mooring/Unmooring operations</t>
  </si>
  <si>
    <t>1.4 Under Tow</t>
  </si>
  <si>
    <t>1.5 Under Tow with Bop not fully retrieved</t>
  </si>
  <si>
    <t>1.16 Other Rig-up/Tear Down Activity</t>
  </si>
  <si>
    <t xml:space="preserve">1.17 DP trial </t>
  </si>
  <si>
    <t>2.1 JSA/Safety Meeting/Drills/Time Out</t>
  </si>
  <si>
    <t>2.2 Drilling – Rotating</t>
  </si>
  <si>
    <t>2.3 Drilling – Sliding</t>
  </si>
  <si>
    <t>2.4 Coiled Tubing – Drilling</t>
  </si>
  <si>
    <t>2.5 Flow Check/Monitor Well while drilling</t>
  </si>
  <si>
    <t>2.6 Clean Rig Floor</t>
  </si>
  <si>
    <t>2.7 Other drilling activities</t>
  </si>
  <si>
    <t>3.1 JSA/Safety Meeting/Time Out</t>
  </si>
  <si>
    <t>3.2 Reaming/Backreaming</t>
  </si>
  <si>
    <t>3.3 Coiled Tubing – Reaming/Backreaming</t>
  </si>
  <si>
    <t>3.4 Planned Opening Hole/Underreaming</t>
  </si>
  <si>
    <t>3.5 Washing Down</t>
  </si>
  <si>
    <t>3.6 Drill out Cement / Shoe</t>
  </si>
  <si>
    <t>3.7 Unplanned Opening Hole/Underreaming</t>
  </si>
  <si>
    <t>3.8 Hole Problem Tight/Fill/Slough/Etc</t>
  </si>
  <si>
    <t>3.9 Other reaming activities</t>
  </si>
  <si>
    <t>4.1 JSA/Safety Meeting/Time Out</t>
  </si>
  <si>
    <t>4.2 Pick up / lay down core barrel</t>
  </si>
  <si>
    <t>4.3 Trip in/out for core</t>
  </si>
  <si>
    <t>4.4 Coring</t>
  </si>
  <si>
    <t>4.5 Coiled Tubing – Coring</t>
  </si>
  <si>
    <t>5.1 JSA/Safety Meeting/Time Out</t>
  </si>
  <si>
    <t>5.2 Circulate/Condition Mud</t>
  </si>
  <si>
    <t>5.3 Coiled Tubing - Circulate/Condition Mud</t>
  </si>
  <si>
    <t>5.4 Take slow pump rates</t>
  </si>
  <si>
    <t>5.5 Change mud systems</t>
  </si>
  <si>
    <t>5.6 Unplanned Circulate/Condition Mud</t>
  </si>
  <si>
    <t>6.1 JSA/Safety Meeting/Time Out</t>
  </si>
  <si>
    <t>6.2 Pick up or Lay down DP</t>
  </si>
  <si>
    <t>6.3 R/U &amp; R/D Pipe and/or BHA Handling Equipment</t>
  </si>
  <si>
    <t>6.4 Pick up or lay down BHA</t>
  </si>
  <si>
    <t>6.5 Test down-hole tools on rotary table</t>
  </si>
  <si>
    <t>7.1 JSA/Safety Meeting/Drills/Time Out</t>
  </si>
  <si>
    <t>7.2 Service Rig – normal lubrication and service of rig</t>
  </si>
  <si>
    <t>7.3 Scheduled Planned Maintenance – that shuts operations down WITHOUT contractual down time</t>
  </si>
  <si>
    <t>8.1 JRA/Safety Meeting/Time Out</t>
  </si>
  <si>
    <t>8.2 Repair Anchor/Jacking/Skidding/Preloading/Positioning Systems</t>
  </si>
  <si>
    <t>8.3 Repair BOP Handling System</t>
  </si>
  <si>
    <t>8.4 Repair Surface Portion BOP/Spools/Controls</t>
  </si>
  <si>
    <t>8.5 Repair Cranes</t>
  </si>
  <si>
    <t>8.6 Repair Main Hoisting/Rotary System (not TDS)</t>
  </si>
  <si>
    <t>8.7 Repair Electrical System</t>
  </si>
  <si>
    <t>8.8 Repair Generators/Engine</t>
  </si>
  <si>
    <t>8.9 Repair High Pressure Choke &amp; Kill/Mud/Cement Piping System</t>
  </si>
  <si>
    <t>8.10 Repair LP Mud/Treatment System</t>
  </si>
  <si>
    <t>8.11 Repair Pump 1</t>
  </si>
  <si>
    <t>8.12 Repair Pump 2</t>
  </si>
  <si>
    <t>8.13 Repair Pump 3</t>
  </si>
  <si>
    <t>8.14 Repair Pump 4</t>
  </si>
  <si>
    <t>8.15 Repair Main Pipe Handling System</t>
  </si>
  <si>
    <t>8.16 Reapir Safety System</t>
  </si>
  <si>
    <t>8.17 Repair Tensioners System</t>
  </si>
  <si>
    <t>8.18 Repair Main Top Drive System</t>
  </si>
  <si>
    <t>8.19 Repair Tubulars</t>
  </si>
  <si>
    <t>8.20 Third Party Equipment Repairs (GSF supplied)</t>
  </si>
  <si>
    <t>8.21 Scheduled Planned maintenance -that shuts operations down WITH contractual downtime</t>
  </si>
  <si>
    <t>8.22 Repair Other</t>
  </si>
  <si>
    <t>9.1 Slip and Cut Drill Line</t>
  </si>
  <si>
    <t xml:space="preserve">9.2 Drawwork and anticollision calibration </t>
  </si>
  <si>
    <t>11.1 Rig up/down to wire line log</t>
  </si>
  <si>
    <t xml:space="preserve">11.2 Wireline logging </t>
  </si>
  <si>
    <t>11.3 Wireline work other</t>
  </si>
  <si>
    <t>12.1 JSA/Safety Meeting/Drills/Time Out</t>
  </si>
  <si>
    <t xml:space="preserve">12.2 30"- 42" csg joint RIH </t>
  </si>
  <si>
    <t xml:space="preserve">12.3 16"- 26" csg joint RIH </t>
  </si>
  <si>
    <t>12.4 13 3/8"- 14" csg joint RIH</t>
  </si>
  <si>
    <t>12.5 8 5/8" - 11 3/4" csg joint RIH</t>
  </si>
  <si>
    <t>12.6 4 1/2" - 7 5/8" csg joint RIH</t>
  </si>
  <si>
    <t>12.7 Hook up conductor / drive pipe tensioner(s)</t>
  </si>
  <si>
    <t>12.8 Unhook conductor / drive pipe tensioner(s)</t>
  </si>
  <si>
    <t>12.9 Trip in/out with landing string</t>
  </si>
  <si>
    <t>12.10 Lay down casing out of derrick.</t>
  </si>
  <si>
    <t>12.11 Set Casing</t>
  </si>
  <si>
    <t>12.12 Rig up to cement</t>
  </si>
  <si>
    <t>12.13 Cement Casing/Liner</t>
  </si>
  <si>
    <t>12.14 Rig down from cementing – jack ups</t>
  </si>
  <si>
    <t>12.15 R/D Casing Equipment</t>
  </si>
  <si>
    <t>12.16 Test casing/liner</t>
  </si>
  <si>
    <t>12.17 Rig up/down for liner run</t>
  </si>
  <si>
    <t>13.1 Waiting On Cement</t>
  </si>
  <si>
    <t>13.2 Leak Off / formation integrity Test</t>
  </si>
  <si>
    <t>14.1 JSA/Safety Meeting/Time Out</t>
  </si>
  <si>
    <t>14.2 Install/Remove Diverter</t>
  </si>
  <si>
    <t>14.3 Nipple Up/down Diverter</t>
  </si>
  <si>
    <t>14.4 Install/Remove or Change Wellhead and Riser (spool) – includes final casing cut / dressing stub</t>
  </si>
  <si>
    <t>14.5 Nipple Up Bop/down Bop</t>
  </si>
  <si>
    <t>14.6 Nipple up BOP’s – Change Rams &amp; Shell Test</t>
  </si>
  <si>
    <t xml:space="preserve">14.7 Move BOP from/to test stump to/from moonpool splash position </t>
  </si>
  <si>
    <t>14.8 Prepare BOP for splashing</t>
  </si>
  <si>
    <t>14.9 RIW riser special joints</t>
  </si>
  <si>
    <t>14.10 POOW riser special joints</t>
  </si>
  <si>
    <t>14.11 R/U &amp; R/D Riser Handling Equipment</t>
  </si>
  <si>
    <t>14.12 Run risers joints in the water</t>
  </si>
  <si>
    <t>14.13 Retrieve risers joint from the water</t>
  </si>
  <si>
    <t>14.14 Riser auxiliary lines pressure test (Choke, Kill, Booster, Conduit, Glycol lines).</t>
  </si>
  <si>
    <t xml:space="preserve">14.15 Latch/Unlatch BOP to/from Well Head/XT and perform overpull test </t>
  </si>
  <si>
    <t>14.16 Skid dats, Support ring and Telescopic joint installation</t>
  </si>
  <si>
    <t xml:space="preserve">14.17 Perform Square BOX test for RMS </t>
  </si>
  <si>
    <t>15.1 JSA/Safety Meeting/Time Out</t>
  </si>
  <si>
    <t>15.2 Test Diverter</t>
  </si>
  <si>
    <t>15.3 Make up BOP Test Assembly</t>
  </si>
  <si>
    <t xml:space="preserve">15.5 RIH / POOH Wearbushing / Test cup /Test plug </t>
  </si>
  <si>
    <t>15.6 BOP Test on Well Head</t>
  </si>
  <si>
    <t>15.7 BOP Test on Surface</t>
  </si>
  <si>
    <t>15.8 Function Test</t>
  </si>
  <si>
    <t>16.1 JSA/Safety Meeting/Time Out</t>
  </si>
  <si>
    <t>16.2 Drill Stem Test</t>
  </si>
  <si>
    <t>17.1 JSA/Safety Meeting/Time Out</t>
  </si>
  <si>
    <t>17.2 Plug Back-Cement</t>
  </si>
  <si>
    <t>17.3 Coiled Tubing – Plug back</t>
  </si>
  <si>
    <t>17.4 Plugback – other</t>
  </si>
  <si>
    <t>18.1 JRA/Safety Meeting/Time Out</t>
  </si>
  <si>
    <t>18.2 Squeeze Planned</t>
  </si>
  <si>
    <t>18.3 Squeeze Unplanned</t>
  </si>
  <si>
    <t>18.4 Coiled Tubing – Squeeze</t>
  </si>
  <si>
    <t>19.1 JRA/Safety Meeting/Time Out</t>
  </si>
  <si>
    <t>19.2 Fishing Operations Planned</t>
  </si>
  <si>
    <t>19.3 Fishing Operations Unplanned</t>
  </si>
  <si>
    <t>19.4 Coiled Tubing – Fishing Operations</t>
  </si>
  <si>
    <t>19.5 Other Activity</t>
  </si>
  <si>
    <t>20.1 JRA/Safety Meeting/Time Out</t>
  </si>
  <si>
    <t>20.2 Directional Work</t>
  </si>
  <si>
    <t>20.3 Mill / Cut Window</t>
  </si>
  <si>
    <t>20.4 Coiled Tubing – Directional Work</t>
  </si>
  <si>
    <t>21.1 BHA/Tool Problem</t>
  </si>
  <si>
    <t>21.2 Coiled Tubing – Problems</t>
  </si>
  <si>
    <t>21.3 Cementing Equipment Problems</t>
  </si>
  <si>
    <t>21.4 Casing/Tubing Problem</t>
  </si>
  <si>
    <t>21.5 Force Majeure</t>
  </si>
  <si>
    <t>21.6 Well Kill (Control) Operations</t>
  </si>
  <si>
    <t>21.7 General/Other Problem</t>
  </si>
  <si>
    <t>21.8 Stuck pipe operations/jarring</t>
  </si>
  <si>
    <t>21.9 Wireline/logging problem</t>
  </si>
  <si>
    <t>22.1 Equipment Installation/Removal</t>
  </si>
  <si>
    <t>22.2 Equipment Test/Trial</t>
  </si>
  <si>
    <t>22.3 Equip Inspection</t>
  </si>
  <si>
    <t>22.4 Welding Operations</t>
  </si>
  <si>
    <t>22.5 Painting</t>
  </si>
  <si>
    <t>22.6 Equipment Install Preparation</t>
  </si>
  <si>
    <t>22.7 Equipment Trials</t>
  </si>
  <si>
    <t>22.8 Other Activity</t>
  </si>
  <si>
    <t>23.1 Idle – NOT under contract</t>
  </si>
  <si>
    <t>23.2 Yard/Dock Maintenance – NOT under contract</t>
  </si>
  <si>
    <t>23.3 Stacked – Cold – NOT under contract</t>
  </si>
  <si>
    <t>23.4 Stacked – Warm – NOT under contract</t>
  </si>
  <si>
    <t>A.1 JRA/Safety Meeting/Time out</t>
  </si>
  <si>
    <t>A.2 Perforating</t>
  </si>
  <si>
    <t>A.3 Perforating with Coiled Tubing</t>
  </si>
  <si>
    <t>A.4 Perforating Problem Time</t>
  </si>
  <si>
    <t>B.1 JRA/Safety Meeting/Time out</t>
  </si>
  <si>
    <t>B.2 Pick up tubing</t>
  </si>
  <si>
    <t>B.3 Lay down tubing</t>
  </si>
  <si>
    <t>B.4 R/U to run tubing</t>
  </si>
  <si>
    <t>B.5 Running / pulling Production Tubing (Tubing Trips)</t>
  </si>
  <si>
    <t>B.6 R/D tubing equipment</t>
  </si>
  <si>
    <t>B.7 Test production tubing</t>
  </si>
  <si>
    <t>B.8 Running Production Tubing Problem Time</t>
  </si>
  <si>
    <t>C.1 JRA/Safety Meeting/Time out</t>
  </si>
  <si>
    <t>C.2 Gravel Packing</t>
  </si>
  <si>
    <t>C.3 Stimulation/Treating</t>
  </si>
  <si>
    <t>C.4 Stimulating/Treating with Coiled Tubing</t>
  </si>
  <si>
    <t>C.5 Rig up Coiled Tubing Equipment</t>
  </si>
  <si>
    <t>C.6 Rig down Coiled Tubing Equipment</t>
  </si>
  <si>
    <t>C.7 Treating Problem Time</t>
  </si>
  <si>
    <t>D.1 JRA/Safety Meeting/Time out</t>
  </si>
  <si>
    <t>D.2 Swabbing Well</t>
  </si>
  <si>
    <t>D.3 Swabbing Problem Time</t>
  </si>
  <si>
    <t>E.1 JRA/Safety Meeting/Time out</t>
  </si>
  <si>
    <t>E.2 R/U well test equipment</t>
  </si>
  <si>
    <t>E.3 Run / pull Test Tree/Downhole Valves</t>
  </si>
  <si>
    <t>E.4 Well testing</t>
  </si>
  <si>
    <t>E.5 R/D well test equipment</t>
  </si>
  <si>
    <t>E.6 Testing Well / Test Tree/Downhole Vlvs Problem Time</t>
  </si>
  <si>
    <t>F.1 JRA/Safety Meeting/Time out</t>
  </si>
  <si>
    <t>F.2 Completion – Install/Remove Wellhead / Tree</t>
  </si>
  <si>
    <t>F.3 Completion – Wellhead / Tree Pressure Testing</t>
  </si>
  <si>
    <t>F.4 Completion – Wellhead / Tree Problem Time</t>
  </si>
  <si>
    <t>F.5 Completion other</t>
  </si>
  <si>
    <t>G.1 Completion – R/U wireline/slickline</t>
  </si>
  <si>
    <t>G.2 Completion – Run Wireline/slickline</t>
  </si>
  <si>
    <t>G.3 Completion – R/D wireline/slickline</t>
  </si>
  <si>
    <t>G.4 Completion – Logging</t>
  </si>
  <si>
    <t>G.5 Completion – Fishing</t>
  </si>
  <si>
    <t>G.6 Completion – Wireline/slickline problem time</t>
  </si>
  <si>
    <t>G.7 Other Completions Problem Time</t>
  </si>
  <si>
    <t>21.10 Wellhead problem</t>
  </si>
  <si>
    <t>21.11 Waiting on Equipment</t>
  </si>
  <si>
    <t>21.12 Waiting on Orders</t>
  </si>
  <si>
    <t>21.13 Waiting on Weather</t>
  </si>
  <si>
    <t>21.14 Other Problem Time</t>
  </si>
  <si>
    <t>21.15 Well Control Operation</t>
  </si>
  <si>
    <t>21.16 Time for Drills</t>
  </si>
  <si>
    <t>21.17 Others</t>
  </si>
  <si>
    <t>START DEPTH</t>
  </si>
  <si>
    <t>END DEPTH</t>
  </si>
  <si>
    <t>_1.Rig up and Tear Down</t>
  </si>
  <si>
    <t>5. Condition Mud And Circulate</t>
  </si>
  <si>
    <t>12. Run Casing And Cement</t>
  </si>
  <si>
    <t>117</t>
  </si>
  <si>
    <t>302</t>
  </si>
  <si>
    <t>303</t>
  </si>
  <si>
    <t>5820</t>
  </si>
  <si>
    <t>1.6 Offshore Moving hours</t>
  </si>
  <si>
    <t>1.7 Offshore Moving hours with Bop not fully retrieved</t>
  </si>
  <si>
    <t>1.8 Onshore moving hours</t>
  </si>
  <si>
    <t>1.9 Jacking Up/down operations</t>
  </si>
  <si>
    <t>1.10 Pre-loading Rig</t>
  </si>
  <si>
    <t>1.11 Cantilever Skid out/in</t>
  </si>
  <si>
    <t>1.12 Pull legs</t>
  </si>
  <si>
    <t xml:space="preserve"> 1.13 Check watertight integrity</t>
  </si>
  <si>
    <t>1.14 Hook up tugs</t>
  </si>
  <si>
    <t>1.15 Rigging Up and  rigging down</t>
  </si>
  <si>
    <t>6.6 DP stands RIH Unrestricted  CH</t>
  </si>
  <si>
    <t>6.7 DP stands POOH Unrestricted CH</t>
  </si>
  <si>
    <t>6.8 DP stands RIH Unrestricted  OH</t>
  </si>
  <si>
    <t>6.9 DP stands POOH Unrestricted OH</t>
  </si>
  <si>
    <t>6.10 DP stands POOH Restricted</t>
  </si>
  <si>
    <t>6.11 Wiper/Conditioner trip</t>
  </si>
  <si>
    <t>6.12 RIH BHA</t>
  </si>
  <si>
    <t>6.13 POOH BHA</t>
  </si>
  <si>
    <t>6.14 Other trip</t>
  </si>
  <si>
    <t>6.15 Well evaluation/MWD/LWD log</t>
  </si>
  <si>
    <t>6.16 Flow Check/Monitor Well while tripping</t>
  </si>
  <si>
    <t xml:space="preserve">6.17 Fill up string </t>
  </si>
  <si>
    <t>12.18 Run liner</t>
  </si>
  <si>
    <t>12.19 Set liner hanger</t>
  </si>
  <si>
    <t>12.20 Set liner packer</t>
  </si>
  <si>
    <t>12.21 Clean rig floor</t>
  </si>
  <si>
    <t>12.22 Pulling casing due to problem</t>
  </si>
  <si>
    <t>12.23 Filling the casing string</t>
  </si>
  <si>
    <t>12.24 Set slips and cut casing</t>
  </si>
  <si>
    <t>12.25 Set slips and cut casing – R/U and set slips</t>
  </si>
  <si>
    <t>12.26 R/U to run casing</t>
  </si>
  <si>
    <t>12.27 R/U to run casing – R/u floor for casing run</t>
  </si>
  <si>
    <t>12.28 R/U to run casing – Change BOP rams</t>
  </si>
  <si>
    <t>12.29 P/U L/D Cement/Circulating Head / Cement String/Stinger</t>
  </si>
  <si>
    <t>12.30 Pick up casing and stand in derrick.</t>
  </si>
  <si>
    <t>12.31 Lay down casing out of derrick.</t>
  </si>
  <si>
    <t>12.32 Unbolt and pick up BOP’s</t>
  </si>
  <si>
    <t>12.33 Unbolt and pick up BOP’s – R/D flowline and pollution pan</t>
  </si>
  <si>
    <t>12.34 Unbolt and pick up BOP’s – Unbolt and P/U BOP’s</t>
  </si>
  <si>
    <t>12.35 Set down BOP’s and rebolt</t>
  </si>
  <si>
    <t>12.36 Set down BOP’s and rebolt – Set bop’s and torque bolts</t>
  </si>
  <si>
    <t>12.37 Set down BOP’s and rebolt – R/U bell nipple and lines</t>
  </si>
  <si>
    <t>12.38 Mill, dress or polish liner top</t>
  </si>
  <si>
    <t>12.39 Cut and pull casing</t>
  </si>
  <si>
    <t>5.7 Losing Circulation/Pumping LCM/Monitor</t>
  </si>
  <si>
    <t>15.4 Test Choke Manifold and surface lines</t>
  </si>
  <si>
    <t>a60</t>
  </si>
  <si>
    <t>09/01/17</t>
  </si>
  <si>
    <t>FORM-COR-DRI-038 Rev 2</t>
  </si>
  <si>
    <t>BACANO 6</t>
  </si>
  <si>
    <t>PAREX</t>
  </si>
  <si>
    <t>8000000979</t>
  </si>
  <si>
    <t>ANGEL MORENO / JORGE FORERO</t>
  </si>
  <si>
    <t>PONYO</t>
  </si>
  <si>
    <t>14</t>
  </si>
  <si>
    <t>1 3/4"</t>
  </si>
  <si>
    <t>WIRTH</t>
  </si>
  <si>
    <t>TPK - 2200</t>
  </si>
  <si>
    <t>6" X 14"</t>
  </si>
  <si>
    <t>20"</t>
  </si>
  <si>
    <t>K-55 BTC</t>
  </si>
  <si>
    <t>WATER MUD</t>
  </si>
  <si>
    <t>IPH SAICF</t>
  </si>
  <si>
    <t>13 3/8"</t>
  </si>
  <si>
    <t>P-110 BTC</t>
  </si>
  <si>
    <t>13 5/8"</t>
  </si>
  <si>
    <t>5000</t>
  </si>
  <si>
    <t>10000</t>
  </si>
  <si>
    <t>CAMERON DOUBLE TYPE U</t>
  </si>
  <si>
    <t>CAMERON SINGLE TYPE U</t>
  </si>
  <si>
    <t>CONTROL FLOW ANNULAR BOP</t>
  </si>
  <si>
    <t>ROTATION HRS BHA</t>
  </si>
  <si>
    <t>WASH PIPE HRS</t>
  </si>
  <si>
    <t>9 5/8"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</si>
  <si>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</si>
  <si>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8R</t>
  </si>
  <si>
    <t>8 1/2" PDC</t>
  </si>
  <si>
    <t>NOV</t>
  </si>
  <si>
    <t>SKH516M</t>
  </si>
  <si>
    <t>A240781</t>
  </si>
  <si>
    <t>5* 16/32</t>
  </si>
  <si>
    <t>13115</t>
  </si>
  <si>
    <t>8 1/2" PDC + 6 3/4" StrataForce 6/7 Lobe 5.0 stg + 6 3/4"*8 String Stabilizer + 6 3/4'' Pin-Pin XOver + 6 3/4" AFR Collar + 6 3/4" DGR Collar + 6 3/4" PDW Collar + 6 3/4" HCIM Collar + 6 3/4" Xover Sub + 6 3/4" Conversion Sub + 6 3/4" ALD Collar + 6 3/4" CTN Collar + 6 3/4" SHOC 650 SYSTEM  +  3 X Drill Collar 6 1/2"+ XO NC50 Pin X XT57 Box + 24 X 5 7/8” HWDP + XO XT57 Pin x NC50 Box + Drilling  Jar + XO NC50 Pin X XT57 Box + 3 X 5 7/8” HWDP + XO XT 57 Pin x NC50 Box + 6-3/4'' Agitator (SVP) + X-Over Sub (Pin NC 50 x Box XT-57) + 9 X 5 7/8” HWDP</t>
  </si>
  <si>
    <t>0</t>
  </si>
  <si>
    <t>36</t>
  </si>
  <si>
    <t>RIH 5 7/8" XT57 DP from 1230 ft to 9620 ft. Filling string every 2500 ft. Monitoring well with trip tank.</t>
  </si>
  <si>
    <t>480.5</t>
  </si>
  <si>
    <t>311</t>
  </si>
  <si>
    <t xml:space="preserve">MECANICO: </t>
  </si>
  <si>
    <t xml:space="preserve">ELECTRONICO: </t>
  </si>
  <si>
    <t>100</t>
  </si>
  <si>
    <t>Circulating @ 10350 ft with 500 gpm, 1600 psi and checking flow: ok.
PU/W = 340 klbs     SO/W = 210 klbs</t>
  </si>
  <si>
    <t>RIH 5 7/8" XT57 DP with mule shoe and 39 3 1/2" DP joints from 1230 ft to 10350 ft. Filling string every 2500 ft. Monitoring well on trip tank.</t>
  </si>
  <si>
    <t>RIH 5 7/8" XT57 DP from 10350 ft to 11205 ft, with 500 gpm, 1600 psi.</t>
  </si>
  <si>
    <t>POOH 5 7/8" XT57 DP from 11205 ft to 10300 ft, with 500 gpm, 1550 psi.
Restriction @ 10985 ft, 20 klbs overpull, pressure increased up to 2100 psi.</t>
  </si>
  <si>
    <t>RIH with 5 7/8" XT57 DP from 10300 ft to 11205 ft on elevator.</t>
  </si>
  <si>
    <t>Pumping visc-heavy pill to fill 300 ft in OH with 470 gpm, 1450 psi.
Displacing with 2060 stks.</t>
  </si>
  <si>
    <t>Circulating above the pill with 500 gpm, 1450 psi reciprocating string 15 ft.
Simultaneously performed safety meeting for cementing. Defined roles and resposibilities.</t>
  </si>
  <si>
    <t>POOH 5 7/8" XT57 DP from 11205 to 10909 on elevator.</t>
  </si>
  <si>
    <t>POOH 5 7/8" XT57 DP from 10909 ft to 9409 ft on elevator at 30 ft/min and 60 ft/min.</t>
  </si>
  <si>
    <t>Pumping 40 bbl of abrasive pill 9.2 ppg, 60s funnel viscosity, with 600 gpm, 1700 psi. Circulating 2 bottoms-up.</t>
  </si>
  <si>
    <t>Performing cementing job with Halliburton unit as per the established program and displacing with mud pumps total strokes = 1600.
With 700 gpm, 0 psi. 510 gpm, 700-2600 psi. 210 gpm, 300 psi.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</si>
</sst>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00.00"/>
    <numFmt numFmtId="165" formatCode="#,##0.00\°"/>
    <numFmt numFmtId="166" formatCode="[$-809]d\ mmmm\ yyyy;@"/>
    <numFmt numFmtId="167" formatCode="dd\-mmm\-yyyy"/>
    <numFmt numFmtId="168" formatCode="hh:mm;@"/>
    <numFmt numFmtId="169" formatCode="[hh]:mm"/>
    <numFmt numFmtId="170" formatCode="#,##0.0000"/>
    <numFmt numFmtId="171" formatCode="0.00000000000"/>
    <numFmt numFmtId="172" formatCode="0.0000000"/>
    <numFmt numFmtId="173" formatCode="#,##0.000000"/>
    <numFmt numFmtId="174" formatCode="#,##0.0"/>
    <numFmt numFmtId="175" formatCode="#0\°"/>
    <numFmt numFmtId="176" formatCode="0.0000"/>
    <numFmt numFmtId="177" formatCode="0.000000"/>
    <numFmt numFmtId="178" formatCode="[h]:mm"/>
    <numFmt numFmtId="179" formatCode="#,##0.0\°"/>
    <numFmt numFmtId="180" formatCode="[$-410]d\-mmm\-yy;@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Eni 3"/>
    </font>
    <font>
      <sz val="8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8"/>
      <color rgb="FF00000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8"/>
      </patternFill>
    </fill>
    <fill>
      <patternFill patternType="solid">
        <fgColor theme="6" tint="0.39997558519241921"/>
        <bgColor indexed="64"/>
      </patternFill>
    </fill>
  </fills>
  <borders count="1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0" fontId="12" fillId="0" borderId="0"/>
    <xf numFmtId="0" fontId="12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99">
    <xf numFmtId="0" fontId="0" fillId="0" borderId="0" xfId="0"/>
    <xf numFmtId="0" fontId="6" fillId="0" borderId="15" xfId="0" applyFont="1" applyBorder="1" applyAlignment="1" applyProtection="1">
      <alignment vertical="center" wrapText="1"/>
      <protection locked="0" hidden="1"/>
    </xf>
    <xf numFmtId="0" fontId="0" fillId="0" borderId="0" xfId="0" applyAlignment="1" applyProtection="1">
      <alignment vertical="center" wrapText="1"/>
    </xf>
    <xf numFmtId="0" fontId="6" fillId="2" borderId="23" xfId="0" applyFont="1" applyFill="1" applyBorder="1" applyAlignment="1" applyProtection="1">
      <alignment horizontal="left" vertical="center" wrapText="1"/>
      <protection locked="0" hidden="1"/>
    </xf>
    <xf numFmtId="12" fontId="10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23" xfId="0" applyFont="1" applyFill="1" applyBorder="1" applyAlignment="1" applyProtection="1">
      <alignment horizontal="center" vertical="center" wrapText="1"/>
      <protection locked="0" hidden="1"/>
    </xf>
    <xf numFmtId="0" fontId="6" fillId="0" borderId="23" xfId="0" applyFont="1" applyBorder="1" applyAlignment="1" applyProtection="1">
      <alignment horizontal="left" vertical="center" wrapText="1"/>
      <protection locked="0" hidden="1"/>
    </xf>
    <xf numFmtId="0" fontId="6" fillId="2" borderId="22" xfId="0" applyFont="1" applyFill="1" applyBorder="1" applyAlignment="1" applyProtection="1">
      <alignment horizontal="left" vertical="center" wrapText="1"/>
      <protection locked="0" hidden="1"/>
    </xf>
    <xf numFmtId="0" fontId="7" fillId="2" borderId="14" xfId="0" applyFont="1" applyFill="1" applyBorder="1" applyAlignment="1" applyProtection="1">
      <alignment horizontal="center" vertical="center" wrapText="1"/>
      <protection locked="0" hidden="1"/>
    </xf>
    <xf numFmtId="0" fontId="7" fillId="2" borderId="15" xfId="0" applyFont="1" applyFill="1" applyBorder="1" applyAlignment="1" applyProtection="1">
      <alignment horizontal="center" vertical="center" wrapText="1"/>
      <protection locked="0" hidden="1"/>
    </xf>
    <xf numFmtId="0" fontId="7" fillId="2" borderId="32" xfId="0" applyFont="1" applyFill="1" applyBorder="1" applyAlignment="1" applyProtection="1">
      <alignment horizontal="center" vertical="center" wrapText="1"/>
      <protection locked="0" hidden="1"/>
    </xf>
    <xf numFmtId="0" fontId="7" fillId="2" borderId="10" xfId="0" applyFont="1" applyFill="1" applyBorder="1" applyAlignment="1" applyProtection="1">
      <alignment horizontal="center" vertical="center" wrapText="1"/>
      <protection locked="0" hidden="1"/>
    </xf>
    <xf numFmtId="0" fontId="7" fillId="2" borderId="26" xfId="0" applyFont="1" applyFill="1" applyBorder="1" applyAlignment="1" applyProtection="1">
      <alignment horizontal="center" vertical="center" wrapText="1"/>
      <protection locked="0" hidden="1"/>
    </xf>
    <xf numFmtId="12" fontId="10" fillId="2" borderId="24" xfId="0" applyNumberFormat="1" applyFont="1" applyFill="1" applyBorder="1" applyAlignment="1" applyProtection="1">
      <alignment horizontal="center" vertical="center" wrapText="1"/>
      <protection locked="0" hidden="1"/>
    </xf>
    <xf numFmtId="0" fontId="6" fillId="2" borderId="15" xfId="0" applyFont="1" applyFill="1" applyBorder="1" applyAlignment="1" applyProtection="1">
      <alignment horizontal="left" vertical="center" wrapText="1"/>
      <protection locked="0" hidden="1"/>
    </xf>
    <xf numFmtId="12" fontId="10" fillId="2" borderId="14" xfId="0" applyNumberFormat="1" applyFont="1" applyFill="1" applyBorder="1" applyAlignment="1" applyProtection="1">
      <alignment horizontal="center" vertical="center" wrapText="1"/>
      <protection locked="0" hidden="1"/>
    </xf>
    <xf numFmtId="0" fontId="6" fillId="0" borderId="15" xfId="0" applyFont="1" applyBorder="1" applyAlignment="1" applyProtection="1">
      <alignment horizontal="left" vertical="center" wrapText="1"/>
      <protection locked="0" hidden="1"/>
    </xf>
    <xf numFmtId="164" fontId="7" fillId="7" borderId="39" xfId="0" applyNumberFormat="1" applyFont="1" applyFill="1" applyBorder="1" applyAlignment="1" applyProtection="1">
      <alignment horizontal="center" vertical="center" wrapText="1"/>
      <protection locked="0" hidden="1"/>
    </xf>
    <xf numFmtId="49" fontId="7" fillId="4" borderId="32" xfId="2" applyNumberFormat="1" applyFont="1" applyFill="1" applyBorder="1" applyAlignment="1" applyProtection="1">
      <alignment horizontal="center" vertical="center" wrapText="1"/>
      <protection locked="0" hidden="1"/>
    </xf>
    <xf numFmtId="0" fontId="12" fillId="0" borderId="1" xfId="0" applyFont="1" applyBorder="1" applyProtection="1">
      <protection hidden="1"/>
    </xf>
    <xf numFmtId="0" fontId="15" fillId="0" borderId="2" xfId="0" applyFont="1" applyBorder="1" applyProtection="1">
      <protection hidden="1"/>
    </xf>
    <xf numFmtId="0" fontId="12" fillId="0" borderId="68" xfId="0" applyFont="1" applyBorder="1" applyProtection="1">
      <protection hidden="1"/>
    </xf>
    <xf numFmtId="0" fontId="15" fillId="0" borderId="6" xfId="0" applyFont="1" applyBorder="1" applyProtection="1">
      <protection hidden="1"/>
    </xf>
    <xf numFmtId="0" fontId="15" fillId="0" borderId="105" xfId="0" applyFont="1" applyFill="1" applyBorder="1" applyProtection="1">
      <protection hidden="1"/>
    </xf>
    <xf numFmtId="0" fontId="12" fillId="0" borderId="0" xfId="0" applyFont="1" applyBorder="1" applyProtection="1">
      <protection hidden="1"/>
    </xf>
    <xf numFmtId="0" fontId="15" fillId="0" borderId="6" xfId="0" applyFont="1" applyFill="1" applyBorder="1" applyProtection="1">
      <protection hidden="1"/>
    </xf>
    <xf numFmtId="0" fontId="12" fillId="0" borderId="106" xfId="0" applyFont="1" applyBorder="1" applyProtection="1">
      <protection hidden="1"/>
    </xf>
    <xf numFmtId="0" fontId="15" fillId="0" borderId="26" xfId="0" applyFont="1" applyBorder="1" applyProtection="1">
      <protection hidden="1"/>
    </xf>
    <xf numFmtId="0" fontId="15" fillId="0" borderId="46" xfId="0" applyFont="1" applyBorder="1" applyProtection="1">
      <protection hidden="1"/>
    </xf>
    <xf numFmtId="0" fontId="15" fillId="0" borderId="46" xfId="0" applyFont="1" applyFill="1" applyBorder="1" applyProtection="1">
      <protection hidden="1"/>
    </xf>
    <xf numFmtId="0" fontId="15" fillId="0" borderId="26" xfId="0" applyFont="1" applyFill="1" applyBorder="1" applyProtection="1">
      <protection hidden="1"/>
    </xf>
    <xf numFmtId="0" fontId="12" fillId="0" borderId="91" xfId="0" applyFont="1" applyBorder="1" applyProtection="1">
      <protection hidden="1"/>
    </xf>
    <xf numFmtId="0" fontId="12" fillId="0" borderId="32" xfId="0" applyFont="1" applyBorder="1" applyProtection="1">
      <protection hidden="1"/>
    </xf>
    <xf numFmtId="0" fontId="12" fillId="0" borderId="0" xfId="0" applyFont="1"/>
    <xf numFmtId="0" fontId="12" fillId="0" borderId="5" xfId="0" applyFont="1" applyBorder="1" applyProtection="1">
      <protection hidden="1"/>
    </xf>
    <xf numFmtId="170" fontId="12" fillId="0" borderId="70" xfId="0" applyNumberFormat="1" applyFont="1" applyBorder="1" applyProtection="1">
      <protection hidden="1"/>
    </xf>
    <xf numFmtId="0" fontId="12" fillId="0" borderId="70" xfId="0" applyFont="1" applyBorder="1" applyProtection="1">
      <protection hidden="1"/>
    </xf>
    <xf numFmtId="0" fontId="12" fillId="0" borderId="104" xfId="0" applyFont="1" applyFill="1" applyBorder="1" applyProtection="1">
      <protection hidden="1"/>
    </xf>
    <xf numFmtId="0" fontId="12" fillId="0" borderId="5" xfId="0" applyFont="1" applyFill="1" applyBorder="1" applyProtection="1">
      <protection hidden="1"/>
    </xf>
    <xf numFmtId="49" fontId="7" fillId="4" borderId="46" xfId="2" applyNumberFormat="1" applyFont="1" applyFill="1" applyBorder="1" applyAlignment="1" applyProtection="1">
      <alignment vertical="center" wrapText="1"/>
      <protection locked="0" hidden="1"/>
    </xf>
    <xf numFmtId="49" fontId="7" fillId="0" borderId="23" xfId="2" applyNumberFormat="1" applyFont="1" applyFill="1" applyBorder="1" applyAlignment="1" applyProtection="1">
      <alignment horizontal="center" vertical="center" wrapText="1"/>
      <protection locked="0" hidden="1"/>
    </xf>
    <xf numFmtId="0" fontId="9" fillId="5" borderId="15" xfId="2" applyNumberFormat="1" applyFont="1" applyFill="1" applyBorder="1" applyAlignment="1" applyProtection="1">
      <alignment horizontal="center" vertical="center" wrapText="1"/>
      <protection locked="0" hidden="1"/>
    </xf>
    <xf numFmtId="0" fontId="10" fillId="8" borderId="23" xfId="2" applyNumberFormat="1" applyFont="1" applyFill="1" applyBorder="1" applyAlignment="1" applyProtection="1">
      <alignment horizontal="center" vertical="center" wrapText="1"/>
      <protection locked="0" hidden="1"/>
    </xf>
    <xf numFmtId="9" fontId="10" fillId="0" borderId="23" xfId="2" applyNumberFormat="1" applyFont="1" applyFill="1" applyBorder="1" applyAlignment="1" applyProtection="1">
      <alignment horizontal="center" vertical="center" wrapText="1"/>
      <protection locked="0" hidden="1"/>
    </xf>
    <xf numFmtId="9" fontId="10" fillId="0" borderId="15" xfId="2" applyNumberFormat="1" applyFont="1" applyFill="1" applyBorder="1" applyAlignment="1" applyProtection="1">
      <alignment horizontal="center" vertical="center" wrapText="1"/>
      <protection locked="0" hidden="1"/>
    </xf>
    <xf numFmtId="49" fontId="7" fillId="0" borderId="15" xfId="2" applyNumberFormat="1" applyFont="1" applyFill="1" applyBorder="1" applyAlignment="1" applyProtection="1">
      <alignment vertical="center" wrapText="1"/>
      <protection locked="0" hidden="1"/>
    </xf>
    <xf numFmtId="0" fontId="10" fillId="0" borderId="23" xfId="2" applyNumberFormat="1" applyFont="1" applyFill="1" applyBorder="1" applyAlignment="1" applyProtection="1">
      <alignment horizontal="center" vertical="center" wrapText="1"/>
      <protection locked="0" hidden="1"/>
    </xf>
    <xf numFmtId="49" fontId="10" fillId="5" borderId="23" xfId="2" applyNumberFormat="1" applyFont="1" applyFill="1" applyBorder="1" applyAlignment="1" applyProtection="1">
      <alignment horizontal="center" vertical="center" wrapText="1"/>
      <protection locked="0" hidden="1"/>
    </xf>
    <xf numFmtId="49" fontId="7" fillId="0" borderId="15" xfId="2" applyNumberFormat="1" applyFont="1" applyFill="1" applyBorder="1" applyAlignment="1" applyProtection="1">
      <alignment horizontal="center" vertical="center" wrapText="1"/>
      <protection locked="0" hidden="1"/>
    </xf>
    <xf numFmtId="0" fontId="10" fillId="0" borderId="10" xfId="2" applyNumberFormat="1" applyFont="1" applyFill="1" applyBorder="1" applyAlignment="1" applyProtection="1">
      <alignment horizontal="center" vertical="center" wrapText="1"/>
      <protection locked="0" hidden="1"/>
    </xf>
    <xf numFmtId="9" fontId="10" fillId="0" borderId="10" xfId="2" applyNumberFormat="1" applyFont="1" applyFill="1" applyBorder="1" applyAlignment="1" applyProtection="1">
      <alignment horizontal="center" vertical="center" wrapText="1"/>
      <protection locked="0" hidden="1"/>
    </xf>
    <xf numFmtId="9" fontId="10" fillId="0" borderId="26" xfId="2" applyNumberFormat="1" applyFont="1" applyFill="1" applyBorder="1" applyAlignment="1" applyProtection="1">
      <alignment horizontal="center" vertical="center" wrapText="1"/>
      <protection locked="0" hidden="1"/>
    </xf>
    <xf numFmtId="49" fontId="7" fillId="0" borderId="10" xfId="2" applyNumberFormat="1" applyFont="1" applyFill="1" applyBorder="1" applyAlignment="1" applyProtection="1">
      <alignment horizontal="center" vertical="center" wrapText="1"/>
      <protection locked="0" hidden="1"/>
    </xf>
    <xf numFmtId="49" fontId="9" fillId="0" borderId="26" xfId="2" applyNumberFormat="1" applyFont="1" applyFill="1" applyBorder="1" applyAlignment="1" applyProtection="1">
      <alignment horizontal="center" vertical="center" wrapText="1"/>
      <protection locked="0" hidden="1"/>
    </xf>
    <xf numFmtId="0" fontId="9" fillId="8" borderId="32" xfId="0" applyFont="1" applyFill="1" applyBorder="1" applyAlignment="1" applyProtection="1">
      <alignment horizontal="center" vertical="center" wrapText="1"/>
      <protection locked="0" hidden="1"/>
    </xf>
    <xf numFmtId="0" fontId="15" fillId="9" borderId="115" xfId="0" applyFont="1" applyFill="1" applyBorder="1" applyAlignment="1">
      <alignment horizontal="center"/>
    </xf>
    <xf numFmtId="0" fontId="15" fillId="0" borderId="134" xfId="0" applyFont="1" applyBorder="1" applyProtection="1">
      <protection hidden="1"/>
    </xf>
    <xf numFmtId="0" fontId="15" fillId="0" borderId="74" xfId="0" applyFont="1" applyBorder="1" applyProtection="1">
      <protection hidden="1"/>
    </xf>
    <xf numFmtId="171" fontId="12" fillId="0" borderId="68" xfId="0" applyNumberFormat="1" applyFont="1" applyBorder="1" applyProtection="1">
      <protection hidden="1"/>
    </xf>
    <xf numFmtId="172" fontId="12" fillId="0" borderId="70" xfId="0" applyNumberFormat="1" applyFont="1" applyBorder="1" applyProtection="1">
      <protection hidden="1"/>
    </xf>
    <xf numFmtId="0" fontId="12" fillId="0" borderId="135" xfId="0" applyFont="1" applyBorder="1" applyProtection="1">
      <protection hidden="1"/>
    </xf>
    <xf numFmtId="0" fontId="15" fillId="0" borderId="136" xfId="0" applyFont="1" applyBorder="1" applyProtection="1">
      <protection hidden="1"/>
    </xf>
    <xf numFmtId="0" fontId="12" fillId="0" borderId="104" xfId="0" applyFont="1" applyBorder="1" applyProtection="1">
      <protection hidden="1"/>
    </xf>
    <xf numFmtId="0" fontId="15" fillId="0" borderId="105" xfId="0" applyFont="1" applyBorder="1" applyProtection="1">
      <protection hidden="1"/>
    </xf>
    <xf numFmtId="173" fontId="12" fillId="0" borderId="0" xfId="0" applyNumberFormat="1" applyFont="1"/>
    <xf numFmtId="0" fontId="15" fillId="0" borderId="28" xfId="0" applyFont="1" applyBorder="1" applyProtection="1">
      <protection hidden="1"/>
    </xf>
    <xf numFmtId="0" fontId="15" fillId="0" borderId="0" xfId="0" applyFont="1" applyBorder="1" applyProtection="1">
      <protection hidden="1"/>
    </xf>
    <xf numFmtId="0" fontId="12" fillId="0" borderId="84" xfId="0" applyFont="1" applyBorder="1" applyProtection="1">
      <protection hidden="1"/>
    </xf>
    <xf numFmtId="0" fontId="15" fillId="0" borderId="134" xfId="0" applyFont="1" applyFill="1" applyBorder="1" applyProtection="1">
      <protection hidden="1"/>
    </xf>
    <xf numFmtId="0" fontId="15" fillId="0" borderId="74" xfId="0" applyFont="1" applyFill="1" applyBorder="1" applyProtection="1">
      <protection hidden="1"/>
    </xf>
    <xf numFmtId="0" fontId="12" fillId="0" borderId="64" xfId="0" applyFont="1" applyBorder="1" applyProtection="1">
      <protection hidden="1"/>
    </xf>
    <xf numFmtId="0" fontId="15" fillId="0" borderId="64" xfId="0" applyFont="1" applyBorder="1" applyProtection="1">
      <protection hidden="1"/>
    </xf>
    <xf numFmtId="0" fontId="12" fillId="0" borderId="64" xfId="0" applyFont="1" applyBorder="1" applyProtection="1">
      <protection locked="0" hidden="1"/>
    </xf>
    <xf numFmtId="0" fontId="12" fillId="0" borderId="0" xfId="0" applyFont="1" applyBorder="1" applyProtection="1">
      <protection locked="0" hidden="1"/>
    </xf>
    <xf numFmtId="0" fontId="12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12" fillId="0" borderId="0" xfId="0" applyFont="1" applyFill="1" applyBorder="1" applyProtection="1">
      <protection locked="0" hidden="1"/>
    </xf>
    <xf numFmtId="49" fontId="7" fillId="7" borderId="14" xfId="2" applyNumberFormat="1" applyFont="1" applyFill="1" applyBorder="1" applyAlignment="1" applyProtection="1">
      <alignment horizontal="center" vertical="center" wrapText="1"/>
      <protection locked="0" hidden="1"/>
    </xf>
    <xf numFmtId="49" fontId="7" fillId="7" borderId="32" xfId="2" applyNumberFormat="1" applyFont="1" applyFill="1" applyBorder="1" applyAlignment="1" applyProtection="1">
      <alignment horizontal="center" vertical="center" wrapText="1"/>
      <protection locked="0" hidden="1"/>
    </xf>
    <xf numFmtId="49" fontId="11" fillId="7" borderId="16" xfId="2" applyNumberFormat="1" applyFont="1" applyFill="1" applyBorder="1" applyAlignment="1" applyProtection="1">
      <alignment horizontal="center" vertical="center" wrapText="1"/>
      <protection locked="0" hidden="1"/>
    </xf>
    <xf numFmtId="164" fontId="6" fillId="7" borderId="47" xfId="0" applyNumberFormat="1" applyFont="1" applyFill="1" applyBorder="1" applyAlignment="1" applyProtection="1">
      <alignment horizontal="center" vertical="center" wrapText="1"/>
      <protection locked="0" hidden="1"/>
    </xf>
    <xf numFmtId="164" fontId="6" fillId="7" borderId="48" xfId="0" applyNumberFormat="1" applyFont="1" applyFill="1" applyBorder="1" applyAlignment="1" applyProtection="1">
      <alignment horizontal="center" vertical="center" wrapText="1"/>
      <protection locked="0" hidden="1"/>
    </xf>
    <xf numFmtId="0" fontId="9" fillId="7" borderId="16" xfId="0" applyFont="1" applyFill="1" applyBorder="1" applyAlignment="1" applyProtection="1">
      <alignment horizontal="center" vertical="center" wrapText="1"/>
      <protection locked="0" hidden="1"/>
    </xf>
    <xf numFmtId="0" fontId="9" fillId="7" borderId="22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2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19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2" borderId="29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29" xfId="0" applyNumberFormat="1" applyFont="1" applyFill="1" applyBorder="1" applyAlignment="1" applyProtection="1">
      <alignment horizontal="center" vertical="center" wrapText="1"/>
      <protection locked="0" hidden="1"/>
    </xf>
    <xf numFmtId="0" fontId="6" fillId="2" borderId="29" xfId="0" applyFont="1" applyFill="1" applyBorder="1" applyAlignment="1" applyProtection="1">
      <alignment horizontal="left" vertical="center" wrapText="1"/>
      <protection locked="0" hidden="1"/>
    </xf>
    <xf numFmtId="0" fontId="6" fillId="2" borderId="30" xfId="0" applyFont="1" applyFill="1" applyBorder="1" applyAlignment="1" applyProtection="1">
      <alignment horizontal="left" vertical="center" wrapText="1"/>
      <protection locked="0" hidden="1"/>
    </xf>
    <xf numFmtId="0" fontId="6" fillId="0" borderId="15" xfId="0" applyFont="1" applyFill="1" applyBorder="1" applyAlignment="1" applyProtection="1">
      <alignment horizontal="left" vertical="center" wrapText="1"/>
      <protection locked="0" hidden="1"/>
    </xf>
    <xf numFmtId="0" fontId="7" fillId="0" borderId="15" xfId="0" applyFont="1" applyFill="1" applyBorder="1" applyAlignment="1" applyProtection="1">
      <alignment horizontal="center" vertical="center" wrapText="1"/>
      <protection locked="0" hidden="1"/>
    </xf>
    <xf numFmtId="0" fontId="6" fillId="0" borderId="23" xfId="0" applyFont="1" applyFill="1" applyBorder="1" applyAlignment="1" applyProtection="1">
      <alignment vertical="center" wrapText="1"/>
      <protection locked="0" hidden="1"/>
    </xf>
    <xf numFmtId="0" fontId="6" fillId="0" borderId="15" xfId="0" applyFont="1" applyFill="1" applyBorder="1" applyAlignment="1" applyProtection="1">
      <alignment vertical="center" wrapText="1"/>
      <protection locked="0" hidden="1"/>
    </xf>
    <xf numFmtId="49" fontId="10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12" fillId="0" borderId="116" xfId="0" applyFont="1" applyBorder="1" applyAlignment="1">
      <alignment horizontal="center"/>
    </xf>
    <xf numFmtId="0" fontId="12" fillId="0" borderId="94" xfId="0" applyFont="1" applyBorder="1" applyAlignment="1">
      <alignment horizontal="center"/>
    </xf>
    <xf numFmtId="0" fontId="12" fillId="0" borderId="95" xfId="0" applyFont="1" applyBorder="1" applyAlignment="1">
      <alignment horizontal="center"/>
    </xf>
    <xf numFmtId="2" fontId="12" fillId="0" borderId="91" xfId="0" applyNumberFormat="1" applyFont="1" applyBorder="1" applyProtection="1">
      <protection locked="0" hidden="1"/>
    </xf>
    <xf numFmtId="2" fontId="12" fillId="0" borderId="32" xfId="0" applyNumberFormat="1" applyFont="1" applyBorder="1" applyProtection="1">
      <protection locked="0" hidden="1"/>
    </xf>
    <xf numFmtId="2" fontId="12" fillId="0" borderId="84" xfId="0" applyNumberFormat="1" applyFont="1" applyBorder="1" applyProtection="1">
      <protection locked="0" hidden="1"/>
    </xf>
    <xf numFmtId="2" fontId="12" fillId="0" borderId="91" xfId="0" applyNumberFormat="1" applyFont="1" applyFill="1" applyBorder="1" applyProtection="1">
      <protection locked="0" hidden="1"/>
    </xf>
    <xf numFmtId="2" fontId="12" fillId="0" borderId="32" xfId="0" applyNumberFormat="1" applyFont="1" applyFill="1" applyBorder="1" applyProtection="1">
      <protection locked="0" hidden="1"/>
    </xf>
    <xf numFmtId="49" fontId="15" fillId="9" borderId="115" xfId="0" applyNumberFormat="1" applyFont="1" applyFill="1" applyBorder="1" applyAlignment="1">
      <alignment horizontal="center"/>
    </xf>
    <xf numFmtId="0" fontId="15" fillId="9" borderId="0" xfId="0" applyFont="1" applyFill="1" applyAlignment="1">
      <alignment horizontal="center"/>
    </xf>
    <xf numFmtId="0" fontId="0" fillId="0" borderId="116" xfId="0" applyBorder="1"/>
    <xf numFmtId="0" fontId="0" fillId="0" borderId="94" xfId="0" applyBorder="1"/>
    <xf numFmtId="0" fontId="0" fillId="0" borderId="95" xfId="0" applyBorder="1"/>
    <xf numFmtId="0" fontId="7" fillId="3" borderId="44" xfId="0" applyFont="1" applyFill="1" applyBorder="1" applyAlignment="1" applyProtection="1">
      <alignment horizontal="center" vertical="center" wrapText="1"/>
    </xf>
    <xf numFmtId="0" fontId="7" fillId="3" borderId="51" xfId="0" applyFont="1" applyFill="1" applyBorder="1" applyAlignment="1" applyProtection="1">
      <alignment horizontal="center" vertical="center" wrapText="1"/>
    </xf>
    <xf numFmtId="0" fontId="7" fillId="0" borderId="93" xfId="0" applyFont="1" applyFill="1" applyBorder="1" applyAlignment="1" applyProtection="1">
      <alignment horizontal="center" vertical="center" wrapText="1"/>
    </xf>
    <xf numFmtId="49" fontId="6" fillId="0" borderId="6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vertical="center" wrapText="1"/>
    </xf>
    <xf numFmtId="0" fontId="7" fillId="0" borderId="128" xfId="0" applyFont="1" applyFill="1" applyBorder="1" applyAlignment="1" applyProtection="1">
      <alignment horizontal="center" vertical="center" wrapText="1"/>
    </xf>
    <xf numFmtId="49" fontId="6" fillId="0" borderId="127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vertical="center" wrapText="1"/>
    </xf>
    <xf numFmtId="0" fontId="0" fillId="0" borderId="0" xfId="0" applyAlignment="1" applyProtection="1">
      <alignment vertical="center" wrapText="1"/>
      <protection locked="0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3" borderId="123" xfId="0" applyFont="1" applyFill="1" applyBorder="1" applyAlignment="1" applyProtection="1">
      <alignment horizontal="center" vertical="center" wrapText="1"/>
    </xf>
    <xf numFmtId="0" fontId="7" fillId="3" borderId="115" xfId="1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" vertical="center" wrapText="1"/>
    </xf>
    <xf numFmtId="167" fontId="7" fillId="8" borderId="43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25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38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9" xfId="0" applyNumberFormat="1" applyFont="1" applyFill="1" applyBorder="1" applyAlignment="1" applyProtection="1">
      <alignment horizontal="center" vertical="center" wrapText="1"/>
      <protection locked="0"/>
    </xf>
    <xf numFmtId="165" fontId="6" fillId="2" borderId="38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horizontal="center" vertical="center" wrapText="1"/>
    </xf>
    <xf numFmtId="0" fontId="7" fillId="7" borderId="2" xfId="0" applyFont="1" applyFill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vertical="center" wrapText="1"/>
    </xf>
    <xf numFmtId="4" fontId="6" fillId="2" borderId="100" xfId="0" applyNumberFormat="1" applyFont="1" applyFill="1" applyBorder="1" applyAlignment="1" applyProtection="1">
      <alignment vertical="center" wrapText="1"/>
      <protection locked="0"/>
    </xf>
    <xf numFmtId="49" fontId="6" fillId="0" borderId="14" xfId="0" applyNumberFormat="1" applyFont="1" applyBorder="1" applyAlignment="1" applyProtection="1">
      <alignment horizontal="left" vertical="center" wrapText="1"/>
      <protection locked="0"/>
    </xf>
    <xf numFmtId="49" fontId="6" fillId="0" borderId="15" xfId="0" applyNumberFormat="1" applyFont="1" applyBorder="1" applyAlignment="1" applyProtection="1">
      <alignment horizontal="left" vertical="center" wrapText="1"/>
      <protection locked="0"/>
    </xf>
    <xf numFmtId="0" fontId="7" fillId="7" borderId="107" xfId="0" applyFont="1" applyFill="1" applyBorder="1" applyAlignment="1" applyProtection="1">
      <alignment vertical="center" wrapText="1"/>
    </xf>
    <xf numFmtId="4" fontId="6" fillId="2" borderId="67" xfId="0" applyNumberFormat="1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 applyAlignment="1" applyProtection="1">
      <alignment vertical="center" wrapText="1"/>
    </xf>
    <xf numFmtId="49" fontId="6" fillId="2" borderId="114" xfId="0" applyNumberFormat="1" applyFont="1" applyFill="1" applyBorder="1" applyAlignment="1" applyProtection="1">
      <alignment horizontal="center" vertical="center" wrapText="1" shrinkToFit="1"/>
      <protection locked="0"/>
    </xf>
    <xf numFmtId="0" fontId="7" fillId="7" borderId="119" xfId="0" applyFont="1" applyFill="1" applyBorder="1" applyAlignment="1" applyProtection="1">
      <alignment horizontal="center" vertical="center" wrapText="1"/>
    </xf>
    <xf numFmtId="0" fontId="7" fillId="7" borderId="47" xfId="0" applyFont="1" applyFill="1" applyBorder="1" applyAlignment="1" applyProtection="1">
      <alignment horizontal="center" vertical="center" wrapText="1"/>
    </xf>
    <xf numFmtId="0" fontId="7" fillId="7" borderId="54" xfId="0" applyFont="1" applyFill="1" applyBorder="1" applyAlignment="1" applyProtection="1">
      <alignment horizontal="center" vertical="center" wrapText="1"/>
    </xf>
    <xf numFmtId="0" fontId="7" fillId="7" borderId="120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7" borderId="119" xfId="0" applyFont="1" applyFill="1" applyBorder="1" applyAlignment="1" applyProtection="1">
      <alignment vertical="center" wrapText="1"/>
    </xf>
    <xf numFmtId="49" fontId="6" fillId="2" borderId="59" xfId="0" applyNumberFormat="1" applyFont="1" applyFill="1" applyBorder="1" applyAlignment="1" applyProtection="1">
      <alignment horizontal="center" vertical="center" wrapText="1" shrinkToFit="1"/>
      <protection locked="0"/>
    </xf>
    <xf numFmtId="49" fontId="6" fillId="0" borderId="12" xfId="0" applyNumberFormat="1" applyFont="1" applyBorder="1" applyAlignment="1" applyProtection="1">
      <alignment horizontal="center" vertical="center" wrapText="1"/>
      <protection locked="0"/>
    </xf>
    <xf numFmtId="4" fontId="6" fillId="0" borderId="20" xfId="0" applyNumberFormat="1" applyFont="1" applyBorder="1" applyAlignment="1" applyProtection="1">
      <alignment horizontal="center" vertical="center" wrapText="1"/>
      <protection locked="0"/>
    </xf>
    <xf numFmtId="49" fontId="6" fillId="0" borderId="20" xfId="0" applyNumberFormat="1" applyFont="1" applyBorder="1" applyAlignment="1" applyProtection="1">
      <alignment horizontal="center" vertical="center" wrapText="1"/>
      <protection locked="0"/>
    </xf>
    <xf numFmtId="4" fontId="6" fillId="0" borderId="13" xfId="0" applyNumberFormat="1" applyFont="1" applyBorder="1" applyAlignment="1" applyProtection="1">
      <alignment horizontal="center" vertical="center" wrapText="1"/>
      <protection locked="0"/>
    </xf>
    <xf numFmtId="49" fontId="6" fillId="0" borderId="22" xfId="0" applyNumberFormat="1" applyFont="1" applyBorder="1" applyAlignment="1" applyProtection="1">
      <alignment horizontal="center" vertical="center" wrapText="1"/>
      <protection locked="0"/>
    </xf>
    <xf numFmtId="49" fontId="6" fillId="0" borderId="17" xfId="0" applyNumberFormat="1" applyFont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vertical="center" wrapText="1"/>
    </xf>
    <xf numFmtId="49" fontId="6" fillId="0" borderId="14" xfId="0" applyNumberFormat="1" applyFont="1" applyBorder="1" applyAlignment="1" applyProtection="1">
      <alignment horizontal="center" vertical="center" wrapText="1"/>
      <protection locked="0"/>
    </xf>
    <xf numFmtId="4" fontId="6" fillId="0" borderId="23" xfId="0" applyNumberFormat="1" applyFont="1" applyBorder="1" applyAlignment="1" applyProtection="1">
      <alignment horizontal="center" vertical="center" wrapText="1"/>
      <protection locked="0"/>
    </xf>
    <xf numFmtId="49" fontId="6" fillId="0" borderId="23" xfId="0" applyNumberFormat="1" applyFont="1" applyBorder="1" applyAlignment="1" applyProtection="1">
      <alignment horizontal="center" vertical="center" wrapText="1"/>
      <protection locked="0"/>
    </xf>
    <xf numFmtId="4" fontId="6" fillId="2" borderId="15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15" xfId="0" applyNumberFormat="1" applyFont="1" applyBorder="1" applyAlignment="1" applyProtection="1">
      <alignment horizontal="center" vertical="center" wrapText="1"/>
      <protection locked="0"/>
    </xf>
    <xf numFmtId="49" fontId="6" fillId="2" borderId="57" xfId="0" applyNumberFormat="1" applyFont="1" applyFill="1" applyBorder="1" applyAlignment="1" applyProtection="1">
      <alignment horizontal="center" vertical="center" wrapText="1" shrinkToFit="1"/>
      <protection locked="0"/>
    </xf>
    <xf numFmtId="49" fontId="6" fillId="2" borderId="14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23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23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17" xfId="0" applyNumberFormat="1" applyFont="1" applyBorder="1" applyAlignment="1" applyProtection="1">
      <alignment horizontal="center" vertical="center" wrapText="1"/>
      <protection locked="0"/>
    </xf>
    <xf numFmtId="49" fontId="6" fillId="0" borderId="59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15" xfId="0" applyNumberFormat="1" applyFont="1" applyBorder="1" applyAlignment="1" applyProtection="1">
      <alignment horizontal="center" vertical="center" wrapText="1"/>
      <protection locked="0"/>
    </xf>
    <xf numFmtId="49" fontId="6" fillId="2" borderId="50" xfId="0" applyNumberFormat="1" applyFont="1" applyFill="1" applyBorder="1" applyAlignment="1" applyProtection="1">
      <alignment horizontal="center" vertical="center" wrapText="1" shrinkToFit="1"/>
      <protection locked="0"/>
    </xf>
    <xf numFmtId="0" fontId="6" fillId="0" borderId="0" xfId="0" applyFont="1" applyFill="1" applyBorder="1" applyAlignment="1" applyProtection="1">
      <alignment horizontal="center" vertical="center" wrapText="1"/>
    </xf>
    <xf numFmtId="49" fontId="6" fillId="2" borderId="19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29" xfId="0" applyNumberFormat="1" applyFont="1" applyBorder="1" applyAlignment="1" applyProtection="1">
      <alignment horizontal="center" vertical="center" wrapText="1"/>
      <protection locked="0"/>
    </xf>
    <xf numFmtId="49" fontId="6" fillId="0" borderId="29" xfId="0" applyNumberFormat="1" applyFont="1" applyBorder="1" applyAlignment="1" applyProtection="1">
      <alignment horizontal="center" vertical="center" wrapText="1"/>
      <protection locked="0"/>
    </xf>
    <xf numFmtId="4" fontId="6" fillId="0" borderId="30" xfId="0" applyNumberFormat="1" applyFont="1" applyBorder="1" applyAlignment="1" applyProtection="1">
      <alignment horizontal="center" vertical="center" wrapText="1"/>
      <protection locked="0"/>
    </xf>
    <xf numFmtId="49" fontId="6" fillId="0" borderId="30" xfId="0" applyNumberFormat="1" applyFont="1" applyBorder="1" applyAlignment="1" applyProtection="1">
      <alignment horizontal="center" vertical="center" wrapText="1"/>
      <protection locked="0"/>
    </xf>
    <xf numFmtId="49" fontId="6" fillId="0" borderId="30" xfId="0" applyNumberFormat="1" applyFont="1" applyBorder="1" applyAlignment="1" applyProtection="1">
      <alignment horizontal="left" vertical="center" wrapText="1"/>
      <protection locked="0"/>
    </xf>
    <xf numFmtId="4" fontId="6" fillId="2" borderId="57" xfId="0" applyNumberFormat="1" applyFont="1" applyFill="1" applyBorder="1" applyAlignment="1" applyProtection="1">
      <alignment horizontal="center" vertical="center" wrapText="1" shrinkToFit="1"/>
      <protection locked="0"/>
    </xf>
    <xf numFmtId="49" fontId="6" fillId="0" borderId="19" xfId="0" applyNumberFormat="1" applyFont="1" applyBorder="1" applyAlignment="1" applyProtection="1">
      <alignment horizontal="center" vertical="center" wrapText="1"/>
      <protection locked="0"/>
    </xf>
    <xf numFmtId="49" fontId="6" fillId="0" borderId="10" xfId="0" applyNumberFormat="1" applyFont="1" applyBorder="1" applyAlignment="1" applyProtection="1">
      <alignment horizontal="center" vertical="center" wrapText="1"/>
      <protection locked="0"/>
    </xf>
    <xf numFmtId="49" fontId="6" fillId="0" borderId="26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vertical="center" wrapText="1"/>
    </xf>
    <xf numFmtId="0" fontId="7" fillId="7" borderId="107" xfId="0" applyFont="1" applyFill="1" applyBorder="1" applyAlignment="1" applyProtection="1">
      <alignment horizontal="center" vertical="center" wrapText="1"/>
    </xf>
    <xf numFmtId="0" fontId="7" fillId="7" borderId="108" xfId="0" applyFont="1" applyFill="1" applyBorder="1" applyAlignment="1" applyProtection="1">
      <alignment horizontal="center" vertical="center" wrapText="1"/>
    </xf>
    <xf numFmtId="0" fontId="7" fillId="7" borderId="109" xfId="0" applyFont="1" applyFill="1" applyBorder="1" applyAlignment="1" applyProtection="1">
      <alignment horizontal="center" vertical="center" wrapText="1"/>
    </xf>
    <xf numFmtId="0" fontId="7" fillId="7" borderId="33" xfId="0" applyFont="1" applyFill="1" applyBorder="1" applyAlignment="1" applyProtection="1">
      <alignment horizontal="center" vertical="center" wrapText="1"/>
    </xf>
    <xf numFmtId="0" fontId="7" fillId="7" borderId="34" xfId="0" applyFont="1" applyFill="1" applyBorder="1" applyAlignment="1" applyProtection="1">
      <alignment horizontal="center" vertical="center" wrapText="1"/>
    </xf>
    <xf numFmtId="49" fontId="6" fillId="0" borderId="16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22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22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</xf>
    <xf numFmtId="0" fontId="7" fillId="0" borderId="70" xfId="0" applyFont="1" applyBorder="1" applyAlignment="1" applyProtection="1">
      <alignment horizontal="center" vertical="center" wrapText="1"/>
    </xf>
    <xf numFmtId="0" fontId="7" fillId="7" borderId="42" xfId="0" applyFont="1" applyFill="1" applyBorder="1" applyAlignment="1" applyProtection="1">
      <alignment vertical="center" wrapText="1"/>
    </xf>
    <xf numFmtId="169" fontId="10" fillId="2" borderId="33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44" xfId="0" applyFont="1" applyFill="1" applyBorder="1" applyAlignment="1" applyProtection="1">
      <alignment vertical="center" wrapText="1"/>
    </xf>
    <xf numFmtId="0" fontId="7" fillId="7" borderId="44" xfId="0" applyFont="1" applyFill="1" applyBorder="1" applyAlignment="1" applyProtection="1">
      <alignment horizontal="left" vertical="center" wrapText="1"/>
    </xf>
    <xf numFmtId="169" fontId="10" fillId="2" borderId="133" xfId="0" applyNumberFormat="1" applyFont="1" applyFill="1" applyBorder="1" applyAlignment="1" applyProtection="1">
      <alignment horizontal="center" vertical="center" wrapText="1"/>
      <protection locked="0"/>
    </xf>
    <xf numFmtId="3" fontId="10" fillId="8" borderId="35" xfId="0" applyNumberFormat="1" applyFont="1" applyFill="1" applyBorder="1" applyAlignment="1" applyProtection="1">
      <alignment horizontal="center" vertical="center" wrapText="1"/>
      <protection locked="0"/>
    </xf>
    <xf numFmtId="3" fontId="10" fillId="8" borderId="36" xfId="0" applyNumberFormat="1" applyFont="1" applyFill="1" applyBorder="1" applyAlignment="1" applyProtection="1">
      <alignment horizontal="center" vertical="center" wrapText="1"/>
      <protection locked="0"/>
    </xf>
    <xf numFmtId="3" fontId="10" fillId="8" borderId="37" xfId="0" applyNumberFormat="1" applyFont="1" applyFill="1" applyBorder="1" applyAlignment="1" applyProtection="1">
      <alignment horizontal="center" vertical="center" wrapText="1"/>
      <protection locked="0"/>
    </xf>
    <xf numFmtId="3" fontId="10" fillId="8" borderId="25" xfId="0" applyNumberFormat="1" applyFont="1" applyFill="1" applyBorder="1" applyAlignment="1" applyProtection="1">
      <alignment horizontal="center" vertical="center" wrapText="1"/>
      <protection locked="0"/>
    </xf>
    <xf numFmtId="3" fontId="10" fillId="8" borderId="38" xfId="0" applyNumberFormat="1" applyFont="1" applyFill="1" applyBorder="1" applyAlignment="1" applyProtection="1">
      <alignment horizontal="center" vertical="center" wrapText="1"/>
      <protection locked="0"/>
    </xf>
    <xf numFmtId="3" fontId="10" fillId="8" borderId="9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51" xfId="0" applyFont="1" applyFill="1" applyBorder="1" applyAlignment="1" applyProtection="1">
      <alignment vertical="center" wrapText="1"/>
    </xf>
    <xf numFmtId="0" fontId="7" fillId="7" borderId="39" xfId="0" applyFont="1" applyFill="1" applyBorder="1" applyAlignment="1" applyProtection="1">
      <alignment horizontal="center" vertical="center" wrapText="1"/>
    </xf>
    <xf numFmtId="0" fontId="7" fillId="7" borderId="3" xfId="0" applyFont="1" applyFill="1" applyBorder="1" applyAlignment="1" applyProtection="1">
      <alignment wrapText="1"/>
    </xf>
    <xf numFmtId="0" fontId="6" fillId="2" borderId="140" xfId="0" applyFont="1" applyFill="1" applyBorder="1" applyAlignment="1" applyProtection="1">
      <alignment horizontal="left" vertical="center" wrapText="1"/>
      <protection locked="0"/>
    </xf>
    <xf numFmtId="175" fontId="6" fillId="2" borderId="36" xfId="0" applyNumberFormat="1" applyFont="1" applyFill="1" applyBorder="1" applyAlignment="1" applyProtection="1">
      <alignment horizontal="right" vertical="center" wrapText="1"/>
      <protection locked="0"/>
    </xf>
    <xf numFmtId="1" fontId="6" fillId="2" borderId="36" xfId="0" applyNumberFormat="1" applyFont="1" applyFill="1" applyBorder="1" applyAlignment="1" applyProtection="1">
      <alignment horizontal="right" vertical="center" wrapText="1"/>
      <protection locked="0"/>
    </xf>
    <xf numFmtId="176" fontId="6" fillId="2" borderId="36" xfId="0" applyNumberFormat="1" applyFont="1" applyFill="1" applyBorder="1" applyAlignment="1" applyProtection="1">
      <alignment horizontal="right" vertical="center" wrapText="1"/>
      <protection locked="0"/>
    </xf>
    <xf numFmtId="177" fontId="6" fillId="2" borderId="37" xfId="0" applyNumberFormat="1" applyFont="1" applyFill="1" applyBorder="1" applyAlignment="1" applyProtection="1">
      <alignment horizontal="right" vertical="center" wrapText="1"/>
      <protection locked="0"/>
    </xf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18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4" fontId="6" fillId="8" borderId="12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wrapText="1"/>
    </xf>
    <xf numFmtId="0" fontId="6" fillId="2" borderId="141" xfId="0" applyFont="1" applyFill="1" applyBorder="1" applyAlignment="1" applyProtection="1">
      <alignment vertical="center" wrapText="1"/>
      <protection locked="0"/>
    </xf>
    <xf numFmtId="175" fontId="6" fillId="2" borderId="122" xfId="0" applyNumberFormat="1" applyFont="1" applyFill="1" applyBorder="1" applyAlignment="1" applyProtection="1">
      <alignment horizontal="right" vertical="center" wrapText="1"/>
      <protection locked="0"/>
    </xf>
    <xf numFmtId="1" fontId="6" fillId="2" borderId="122" xfId="0" applyNumberFormat="1" applyFont="1" applyFill="1" applyBorder="1" applyAlignment="1" applyProtection="1">
      <alignment horizontal="right" vertical="center" wrapText="1"/>
      <protection locked="0"/>
    </xf>
    <xf numFmtId="176" fontId="6" fillId="2" borderId="122" xfId="0" applyNumberFormat="1" applyFont="1" applyFill="1" applyBorder="1" applyAlignment="1" applyProtection="1">
      <alignment horizontal="right" vertical="center" wrapText="1"/>
      <protection locked="0"/>
    </xf>
    <xf numFmtId="177" fontId="6" fillId="2" borderId="142" xfId="0" applyNumberFormat="1" applyFont="1" applyFill="1" applyBorder="1" applyAlignment="1" applyProtection="1">
      <alignment horizontal="right" vertical="center" wrapText="1"/>
      <protection locked="0"/>
    </xf>
    <xf numFmtId="0" fontId="10" fillId="8" borderId="64" xfId="0" applyFont="1" applyFill="1" applyBorder="1" applyAlignment="1" applyProtection="1">
      <alignment horizontal="left" vertical="center" wrapText="1"/>
    </xf>
    <xf numFmtId="9" fontId="10" fillId="8" borderId="64" xfId="0" applyNumberFormat="1" applyFont="1" applyFill="1" applyBorder="1" applyAlignment="1" applyProtection="1">
      <alignment horizontal="center" vertical="center" wrapText="1"/>
    </xf>
    <xf numFmtId="0" fontId="10" fillId="8" borderId="64" xfId="0" applyFont="1" applyFill="1" applyBorder="1" applyAlignment="1" applyProtection="1">
      <alignment horizontal="center" vertical="center" wrapText="1"/>
    </xf>
    <xf numFmtId="0" fontId="7" fillId="8" borderId="64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 wrapText="1"/>
    </xf>
    <xf numFmtId="0" fontId="15" fillId="9" borderId="116" xfId="1" applyFont="1" applyFill="1" applyBorder="1" applyAlignment="1" applyProtection="1">
      <alignment horizontal="center"/>
      <protection hidden="1"/>
    </xf>
    <xf numFmtId="0" fontId="15" fillId="9" borderId="126" xfId="1" applyFont="1" applyFill="1" applyBorder="1" applyAlignment="1" applyProtection="1">
      <alignment horizontal="center"/>
      <protection hidden="1"/>
    </xf>
    <xf numFmtId="0" fontId="15" fillId="9" borderId="11" xfId="1" applyFont="1" applyFill="1" applyBorder="1" applyAlignment="1" applyProtection="1">
      <alignment horizontal="center"/>
      <protection hidden="1"/>
    </xf>
    <xf numFmtId="0" fontId="12" fillId="0" borderId="0" xfId="1" applyProtection="1">
      <protection hidden="1"/>
    </xf>
    <xf numFmtId="0" fontId="15" fillId="7" borderId="128" xfId="1" applyFont="1" applyFill="1" applyBorder="1" applyProtection="1">
      <protection hidden="1"/>
    </xf>
    <xf numFmtId="0" fontId="12" fillId="0" borderId="139" xfId="1" applyBorder="1" applyProtection="1">
      <protection locked="0" hidden="1"/>
    </xf>
    <xf numFmtId="0" fontId="12" fillId="0" borderId="4" xfId="1" applyBorder="1" applyProtection="1">
      <protection locked="0" hidden="1"/>
    </xf>
    <xf numFmtId="0" fontId="12" fillId="0" borderId="0" xfId="1" applyFont="1" applyProtection="1">
      <protection hidden="1"/>
    </xf>
    <xf numFmtId="0" fontId="15" fillId="9" borderId="128" xfId="1" applyFont="1" applyFill="1" applyBorder="1" applyProtection="1">
      <protection hidden="1"/>
    </xf>
    <xf numFmtId="0" fontId="12" fillId="0" borderId="70" xfId="1" applyBorder="1" applyProtection="1">
      <protection locked="0" hidden="1"/>
    </xf>
    <xf numFmtId="0" fontId="12" fillId="0" borderId="6" xfId="1" applyBorder="1" applyProtection="1">
      <protection locked="0" hidden="1"/>
    </xf>
    <xf numFmtId="0" fontId="12" fillId="0" borderId="0" xfId="1" applyFont="1" applyFill="1" applyBorder="1" applyProtection="1">
      <protection hidden="1"/>
    </xf>
    <xf numFmtId="0" fontId="7" fillId="7" borderId="105" xfId="0" applyFont="1" applyFill="1" applyBorder="1" applyAlignment="1" applyProtection="1">
      <alignment horizontal="center" vertical="center" wrapText="1"/>
    </xf>
    <xf numFmtId="0" fontId="7" fillId="7" borderId="104" xfId="0" applyFont="1" applyFill="1" applyBorder="1" applyAlignment="1" applyProtection="1">
      <alignment horizontal="center" vertical="center" wrapText="1"/>
    </xf>
    <xf numFmtId="0" fontId="7" fillId="7" borderId="92" xfId="0" applyFont="1" applyFill="1" applyBorder="1" applyAlignment="1" applyProtection="1">
      <alignment horizontal="center" vertical="center" wrapText="1"/>
    </xf>
    <xf numFmtId="3" fontId="7" fillId="6" borderId="51" xfId="0" applyNumberFormat="1" applyFont="1" applyFill="1" applyBorder="1" applyAlignment="1" applyProtection="1">
      <alignment horizontal="center" vertical="center" wrapText="1"/>
      <protection hidden="1"/>
    </xf>
    <xf numFmtId="49" fontId="6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38" xfId="0" applyNumberFormat="1" applyFont="1" applyFill="1" applyBorder="1" applyAlignment="1" applyProtection="1">
      <alignment horizontal="center" vertical="center" wrapText="1"/>
      <protection locked="0"/>
    </xf>
    <xf numFmtId="164" fontId="7" fillId="11" borderId="39" xfId="0" applyNumberFormat="1" applyFont="1" applyFill="1" applyBorder="1" applyAlignment="1" applyProtection="1">
      <alignment horizontal="center" vertical="center" wrapText="1"/>
      <protection locked="0"/>
    </xf>
    <xf numFmtId="0" fontId="7" fillId="11" borderId="39" xfId="0" applyFont="1" applyFill="1" applyBorder="1" applyAlignment="1" applyProtection="1">
      <alignment horizontal="center" vertical="center" wrapText="1"/>
      <protection locked="0"/>
    </xf>
    <xf numFmtId="49" fontId="6" fillId="0" borderId="13" xfId="0" applyNumberFormat="1" applyFont="1" applyBorder="1" applyAlignment="1" applyProtection="1">
      <alignment horizontal="left" vertical="center" wrapText="1"/>
      <protection locked="0"/>
    </xf>
    <xf numFmtId="49" fontId="6" fillId="0" borderId="12" xfId="0" applyNumberFormat="1" applyFont="1" applyBorder="1" applyAlignment="1" applyProtection="1">
      <alignment horizontal="left" vertical="center" wrapText="1"/>
      <protection locked="0"/>
    </xf>
    <xf numFmtId="49" fontId="6" fillId="0" borderId="84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85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85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1"/>
    <xf numFmtId="0" fontId="12" fillId="0" borderId="0" xfId="1" applyAlignment="1" applyProtection="1">
      <alignment vertical="center" wrapText="1"/>
    </xf>
    <xf numFmtId="168" fontId="12" fillId="0" borderId="0" xfId="1" applyNumberFormat="1" applyAlignment="1" applyProtection="1">
      <alignment vertical="center" wrapText="1"/>
    </xf>
    <xf numFmtId="0" fontId="12" fillId="0" borderId="0" xfId="1" applyFont="1" applyAlignment="1" applyProtection="1">
      <alignment vertical="center" wrapText="1"/>
    </xf>
    <xf numFmtId="0" fontId="12" fillId="0" borderId="0" xfId="1" applyAlignment="1" applyProtection="1">
      <alignment vertical="center" wrapText="1"/>
      <protection locked="0"/>
    </xf>
    <xf numFmtId="14" fontId="12" fillId="0" borderId="0" xfId="1" applyNumberFormat="1" applyAlignment="1" applyProtection="1">
      <alignment vertical="center" wrapText="1"/>
    </xf>
    <xf numFmtId="20" fontId="12" fillId="0" borderId="0" xfId="1" applyNumberFormat="1" applyAlignment="1" applyProtection="1">
      <alignment vertical="center" wrapText="1"/>
    </xf>
    <xf numFmtId="178" fontId="12" fillId="0" borderId="0" xfId="1" applyNumberFormat="1" applyAlignment="1" applyProtection="1">
      <alignment vertical="center" wrapText="1"/>
    </xf>
    <xf numFmtId="169" fontId="12" fillId="0" borderId="0" xfId="1" applyNumberFormat="1" applyAlignment="1" applyProtection="1">
      <alignment vertical="center" wrapText="1"/>
    </xf>
    <xf numFmtId="0" fontId="7" fillId="7" borderId="125" xfId="0" applyFont="1" applyFill="1" applyBorder="1" applyAlignment="1" applyProtection="1">
      <alignment horizontal="center" vertical="center" wrapText="1"/>
    </xf>
    <xf numFmtId="178" fontId="12" fillId="0" borderId="0" xfId="1" applyNumberFormat="1"/>
    <xf numFmtId="0" fontId="6" fillId="2" borderId="24" xfId="0" applyFont="1" applyFill="1" applyBorder="1" applyAlignment="1" applyProtection="1">
      <alignment horizontal="left" vertical="center" wrapText="1"/>
      <protection locked="0" hidden="1"/>
    </xf>
    <xf numFmtId="0" fontId="6" fillId="0" borderId="24" xfId="0" applyFont="1" applyBorder="1" applyAlignment="1" applyProtection="1">
      <alignment horizontal="left" vertical="center" wrapText="1"/>
      <protection locked="0" hidden="1"/>
    </xf>
    <xf numFmtId="0" fontId="7" fillId="2" borderId="29" xfId="0" applyFont="1" applyFill="1" applyBorder="1" applyAlignment="1" applyProtection="1">
      <alignment horizontal="center" vertical="center" wrapText="1"/>
      <protection locked="0" hidden="1"/>
    </xf>
    <xf numFmtId="12" fontId="10" fillId="2" borderId="16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2" borderId="22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22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2" borderId="18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18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39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149" xfId="0" applyNumberFormat="1" applyFont="1" applyFill="1" applyBorder="1" applyAlignment="1" applyProtection="1">
      <alignment horizontal="center" vertical="center" wrapText="1"/>
      <protection locked="0" hidden="1"/>
    </xf>
    <xf numFmtId="0" fontId="7" fillId="9" borderId="39" xfId="0" applyFont="1" applyFill="1" applyBorder="1" applyAlignment="1" applyProtection="1">
      <alignment horizontal="center" vertical="center" wrapText="1"/>
      <protection locked="0" hidden="1"/>
    </xf>
    <xf numFmtId="0" fontId="7" fillId="9" borderId="149" xfId="0" applyFont="1" applyFill="1" applyBorder="1" applyAlignment="1" applyProtection="1">
      <alignment horizontal="center" vertical="center" wrapText="1"/>
      <protection locked="0" hidden="1"/>
    </xf>
    <xf numFmtId="179" fontId="6" fillId="2" borderId="39" xfId="0" applyNumberFormat="1" applyFont="1" applyFill="1" applyBorder="1" applyAlignment="1" applyProtection="1">
      <alignment horizontal="center" vertical="center" wrapText="1"/>
      <protection locked="0" hidden="1"/>
    </xf>
    <xf numFmtId="179" fontId="6" fillId="2" borderId="149" xfId="0" applyNumberFormat="1" applyFont="1" applyFill="1" applyBorder="1" applyAlignment="1" applyProtection="1">
      <alignment horizontal="center" vertical="center" wrapText="1"/>
      <protection locked="0" hidden="1"/>
    </xf>
    <xf numFmtId="179" fontId="6" fillId="2" borderId="39" xfId="0" applyNumberFormat="1" applyFont="1" applyFill="1" applyBorder="1" applyAlignment="1" applyProtection="1">
      <alignment horizontal="left" vertical="center" wrapText="1"/>
      <protection locked="0" hidden="1"/>
    </xf>
    <xf numFmtId="179" fontId="6" fillId="2" borderId="149" xfId="0" applyNumberFormat="1" applyFont="1" applyFill="1" applyBorder="1" applyAlignment="1" applyProtection="1">
      <alignment horizontal="left" vertical="center" wrapText="1"/>
      <protection locked="0" hidden="1"/>
    </xf>
    <xf numFmtId="179" fontId="6" fillId="0" borderId="149" xfId="0" applyNumberFormat="1" applyFont="1" applyBorder="1" applyAlignment="1" applyProtection="1">
      <alignment horizontal="left" vertical="center" wrapText="1"/>
      <protection locked="0" hidden="1"/>
    </xf>
    <xf numFmtId="179" fontId="6" fillId="2" borderId="2" xfId="0" applyNumberFormat="1" applyFont="1" applyFill="1" applyBorder="1" applyAlignment="1" applyProtection="1">
      <alignment horizontal="left" vertical="center" wrapText="1"/>
      <protection locked="0" hidden="1"/>
    </xf>
    <xf numFmtId="179" fontId="6" fillId="0" borderId="6" xfId="0" applyNumberFormat="1" applyFont="1" applyBorder="1" applyAlignment="1" applyProtection="1">
      <alignment horizontal="left" vertical="center" wrapText="1"/>
      <protection locked="0" hidden="1"/>
    </xf>
    <xf numFmtId="0" fontId="6" fillId="2" borderId="17" xfId="0" applyFont="1" applyFill="1" applyBorder="1" applyAlignment="1" applyProtection="1">
      <alignment horizontal="left" vertical="center" wrapText="1"/>
      <protection locked="0" hidden="1"/>
    </xf>
    <xf numFmtId="0" fontId="6" fillId="2" borderId="6" xfId="0" applyFont="1" applyFill="1" applyBorder="1" applyAlignment="1" applyProtection="1">
      <alignment horizontal="left" vertical="center" wrapText="1"/>
      <protection locked="0" hidden="1"/>
    </xf>
    <xf numFmtId="0" fontId="7" fillId="7" borderId="4" xfId="0" applyFont="1" applyFill="1" applyBorder="1" applyAlignment="1" applyProtection="1">
      <alignment horizontal="center" vertical="center" wrapText="1"/>
      <protection locked="0" hidden="1"/>
    </xf>
    <xf numFmtId="0" fontId="7" fillId="7" borderId="139" xfId="0" applyFont="1" applyFill="1" applyBorder="1" applyAlignment="1" applyProtection="1">
      <alignment horizontal="center" vertical="center" wrapText="1"/>
      <protection locked="0" hidden="1"/>
    </xf>
    <xf numFmtId="0" fontId="6" fillId="2" borderId="21" xfId="0" applyFont="1" applyFill="1" applyBorder="1" applyAlignment="1" applyProtection="1">
      <alignment horizontal="left" vertical="center" wrapText="1"/>
      <protection locked="0" hidden="1"/>
    </xf>
    <xf numFmtId="0" fontId="6" fillId="2" borderId="40" xfId="0" applyFont="1" applyFill="1" applyBorder="1" applyAlignment="1" applyProtection="1">
      <alignment horizontal="left" vertical="center" wrapText="1"/>
      <protection locked="0" hidden="1"/>
    </xf>
    <xf numFmtId="0" fontId="6" fillId="0" borderId="24" xfId="0" applyFont="1" applyFill="1" applyBorder="1" applyAlignment="1" applyProtection="1">
      <alignment horizontal="left" vertical="center" wrapText="1"/>
      <protection locked="0" hidden="1"/>
    </xf>
    <xf numFmtId="0" fontId="7" fillId="0" borderId="24" xfId="0" applyFont="1" applyFill="1" applyBorder="1" applyAlignment="1" applyProtection="1">
      <alignment horizontal="center" vertical="center" wrapText="1"/>
      <protection locked="0" hidden="1"/>
    </xf>
    <xf numFmtId="0" fontId="6" fillId="0" borderId="22" xfId="0" applyFont="1" applyFill="1" applyBorder="1" applyAlignment="1" applyProtection="1">
      <alignment vertical="center" wrapText="1"/>
      <protection locked="0" hidden="1"/>
    </xf>
    <xf numFmtId="12" fontId="10" fillId="0" borderId="18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3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0" borderId="149" xfId="0" applyNumberFormat="1" applyFont="1" applyFill="1" applyBorder="1" applyAlignment="1" applyProtection="1">
      <alignment horizontal="center" vertical="center" wrapText="1"/>
      <protection locked="0" hidden="1"/>
    </xf>
    <xf numFmtId="180" fontId="6" fillId="0" borderId="61" xfId="0" applyNumberFormat="1" applyFont="1" applyBorder="1" applyAlignment="1" applyProtection="1">
      <alignment horizontal="left" vertical="center" wrapText="1"/>
      <protection locked="0" hidden="1"/>
    </xf>
    <xf numFmtId="12" fontId="7" fillId="7" borderId="18" xfId="0" applyNumberFormat="1" applyFont="1" applyFill="1" applyBorder="1" applyAlignment="1" applyProtection="1">
      <alignment horizontal="center" vertical="center" wrapText="1"/>
      <protection locked="0" hidden="1"/>
    </xf>
    <xf numFmtId="169" fontId="10" fillId="2" borderId="3" xfId="0" applyNumberFormat="1" applyFont="1" applyFill="1" applyBorder="1" applyAlignment="1" applyProtection="1">
      <alignment horizontal="center" vertical="center" wrapText="1"/>
      <protection locked="0" hidden="1"/>
    </xf>
    <xf numFmtId="169" fontId="6" fillId="2" borderId="18" xfId="0" applyNumberFormat="1" applyFont="1" applyFill="1" applyBorder="1" applyAlignment="1" applyProtection="1">
      <alignment horizontal="center" vertical="center" wrapText="1"/>
      <protection locked="0" hidden="1"/>
    </xf>
    <xf numFmtId="169" fontId="10" fillId="0" borderId="3" xfId="0" applyNumberFormat="1" applyFont="1" applyFill="1" applyBorder="1" applyAlignment="1" applyProtection="1">
      <alignment horizontal="center" vertical="center" wrapText="1"/>
      <protection locked="0" hidden="1"/>
    </xf>
    <xf numFmtId="169" fontId="6" fillId="0" borderId="18" xfId="0" applyNumberFormat="1" applyFont="1" applyFill="1" applyBorder="1" applyAlignment="1" applyProtection="1">
      <alignment horizontal="center" vertical="center" wrapText="1"/>
      <protection locked="0" hidden="1"/>
    </xf>
    <xf numFmtId="169" fontId="10" fillId="0" borderId="5" xfId="0" applyNumberFormat="1" applyFont="1" applyFill="1" applyBorder="1" applyAlignment="1" applyProtection="1">
      <alignment horizontal="center" vertical="center" wrapText="1"/>
      <protection locked="0" hidden="1"/>
    </xf>
    <xf numFmtId="169" fontId="6" fillId="0" borderId="149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0" borderId="84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0" borderId="85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0" borderId="85" xfId="0" applyNumberFormat="1" applyFont="1" applyFill="1" applyBorder="1" applyAlignment="1" applyProtection="1">
      <alignment horizontal="center" vertical="center" wrapText="1"/>
      <protection locked="0" hidden="1"/>
    </xf>
    <xf numFmtId="0" fontId="6" fillId="0" borderId="85" xfId="0" applyFont="1" applyFill="1" applyBorder="1" applyAlignment="1" applyProtection="1">
      <alignment horizontal="left" vertical="center" wrapText="1"/>
      <protection locked="0" hidden="1"/>
    </xf>
    <xf numFmtId="12" fontId="10" fillId="7" borderId="149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21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7" borderId="150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2" borderId="151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7" borderId="151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151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4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7" borderId="3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7" borderId="4" xfId="0" applyNumberFormat="1" applyFont="1" applyFill="1" applyBorder="1" applyAlignment="1" applyProtection="1">
      <alignment horizontal="center" vertical="center" wrapText="1"/>
      <protection locked="0" hidden="1"/>
    </xf>
    <xf numFmtId="49" fontId="6" fillId="0" borderId="71" xfId="0" applyNumberFormat="1" applyFont="1" applyFill="1" applyBorder="1" applyAlignment="1" applyProtection="1">
      <alignment horizontal="center" vertical="center" wrapText="1"/>
      <protection locked="0"/>
    </xf>
    <xf numFmtId="0" fontId="15" fillId="7" borderId="129" xfId="1" applyFont="1" applyFill="1" applyBorder="1" applyProtection="1">
      <protection hidden="1"/>
    </xf>
    <xf numFmtId="1" fontId="7" fillId="8" borderId="9" xfId="0" applyNumberFormat="1" applyFont="1" applyFill="1" applyBorder="1" applyAlignment="1" applyProtection="1">
      <alignment horizontal="center" vertical="center" wrapText="1"/>
      <protection locked="0"/>
    </xf>
    <xf numFmtId="169" fontId="10" fillId="7" borderId="3" xfId="0" applyNumberFormat="1" applyFont="1" applyFill="1" applyBorder="1" applyAlignment="1" applyProtection="1">
      <alignment horizontal="center" vertical="center" wrapText="1"/>
      <protection locked="0" hidden="1"/>
    </xf>
    <xf numFmtId="169" fontId="6" fillId="7" borderId="1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0" borderId="21" xfId="0" applyNumberFormat="1" applyFont="1" applyBorder="1" applyAlignment="1" applyProtection="1">
      <alignment horizontal="center" vertical="center" wrapText="1"/>
      <protection locked="0"/>
    </xf>
    <xf numFmtId="3" fontId="6" fillId="0" borderId="24" xfId="0" applyNumberFormat="1" applyFont="1" applyBorder="1" applyAlignment="1" applyProtection="1">
      <alignment horizontal="center" vertical="center" wrapText="1"/>
      <protection locked="0"/>
    </xf>
    <xf numFmtId="3" fontId="6" fillId="0" borderId="40" xfId="0" applyNumberFormat="1" applyFont="1" applyBorder="1" applyAlignment="1" applyProtection="1">
      <alignment horizontal="center" vertical="center" wrapText="1"/>
      <protection locked="0"/>
    </xf>
    <xf numFmtId="3" fontId="6" fillId="0" borderId="41" xfId="0" applyNumberFormat="1" applyFont="1" applyBorder="1" applyAlignment="1" applyProtection="1">
      <alignment horizontal="center" vertical="center" wrapText="1"/>
      <protection locked="0"/>
    </xf>
    <xf numFmtId="174" fontId="6" fillId="2" borderId="59" xfId="0" applyNumberFormat="1" applyFont="1" applyFill="1" applyBorder="1" applyAlignment="1" applyProtection="1">
      <alignment horizontal="center" vertical="center" wrapText="1" shrinkToFit="1"/>
      <protection locked="0"/>
    </xf>
    <xf numFmtId="49" fontId="0" fillId="0" borderId="116" xfId="0" applyNumberFormat="1" applyBorder="1"/>
    <xf numFmtId="49" fontId="0" fillId="0" borderId="94" xfId="0" applyNumberFormat="1" applyBorder="1"/>
    <xf numFmtId="49" fontId="12" fillId="0" borderId="94" xfId="0" applyNumberFormat="1" applyFont="1" applyBorder="1"/>
    <xf numFmtId="49" fontId="0" fillId="0" borderId="95" xfId="0" applyNumberFormat="1" applyBorder="1"/>
    <xf numFmtId="0" fontId="6" fillId="2" borderId="23" xfId="0" applyFont="1" applyFill="1" applyBorder="1" applyAlignment="1" applyProtection="1">
      <alignment vertical="center" wrapText="1"/>
      <protection locked="0" hidden="1"/>
    </xf>
    <xf numFmtId="4" fontId="6" fillId="8" borderId="122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45" xfId="2" applyNumberFormat="1" applyFont="1" applyBorder="1" applyAlignment="1" applyProtection="1">
      <alignment horizontal="center" vertical="center" wrapText="1"/>
      <protection locked="0" hidden="1"/>
    </xf>
    <xf numFmtId="169" fontId="10" fillId="2" borderId="139" xfId="0" applyNumberFormat="1" applyFont="1" applyFill="1" applyBorder="1" applyAlignment="1" applyProtection="1">
      <alignment horizontal="center" vertical="center" wrapText="1"/>
      <protection locked="0" hidden="1"/>
    </xf>
    <xf numFmtId="22" fontId="6" fillId="2" borderId="23" xfId="0" applyNumberFormat="1" applyFont="1" applyFill="1" applyBorder="1" applyAlignment="1" applyProtection="1">
      <alignment horizontal="left" vertical="center" wrapText="1"/>
      <protection locked="0" hidden="1"/>
    </xf>
    <xf numFmtId="169" fontId="6" fillId="2" borderId="3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0" borderId="4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0" borderId="0" xfId="0" applyBorder="1"/>
    <xf numFmtId="20" fontId="10" fillId="2" borderId="18" xfId="0" applyNumberFormat="1" applyFont="1" applyFill="1" applyBorder="1" applyAlignment="1" applyProtection="1">
      <alignment horizontal="center" vertical="center" wrapText="1"/>
      <protection locked="0" hidden="1"/>
    </xf>
    <xf numFmtId="49" fontId="6" fillId="0" borderId="23" xfId="2" applyNumberFormat="1" applyFont="1" applyFill="1" applyBorder="1" applyAlignment="1" applyProtection="1">
      <alignment horizontal="center" vertical="center" wrapText="1"/>
      <protection locked="0" hidden="1"/>
    </xf>
    <xf numFmtId="0" fontId="12" fillId="0" borderId="0" xfId="0" applyFont="1" applyAlignment="1">
      <alignment wrapText="1"/>
    </xf>
    <xf numFmtId="49" fontId="6" fillId="0" borderId="23" xfId="2" applyNumberFormat="1" applyFont="1" applyBorder="1" applyAlignment="1" applyProtection="1">
      <alignment horizontal="center" vertical="center" wrapText="1"/>
      <protection locked="0" hidden="1"/>
    </xf>
    <xf numFmtId="9" fontId="7" fillId="2" borderId="14" xfId="0" applyNumberFormat="1" applyFont="1" applyFill="1" applyBorder="1" applyAlignment="1" applyProtection="1">
      <alignment horizontal="center" vertical="center" wrapText="1"/>
      <protection locked="0" hidden="1"/>
    </xf>
    <xf numFmtId="0" fontId="12" fillId="0" borderId="0" xfId="1" applyAlignment="1">
      <alignment wrapText="1"/>
    </xf>
    <xf numFmtId="0" fontId="12" fillId="0" borderId="0" xfId="0" quotePrefix="1" applyFont="1"/>
    <xf numFmtId="0" fontId="7" fillId="7" borderId="118" xfId="0" applyFont="1" applyFill="1" applyBorder="1" applyAlignment="1" applyProtection="1">
      <alignment vertical="center" wrapText="1"/>
    </xf>
    <xf numFmtId="0" fontId="10" fillId="2" borderId="21" xfId="0" applyNumberFormat="1" applyFont="1" applyFill="1" applyBorder="1" applyAlignment="1" applyProtection="1">
      <alignment horizontal="center" vertical="center" wrapText="1"/>
      <protection locked="0" hidden="1"/>
    </xf>
    <xf numFmtId="0" fontId="6" fillId="2" borderId="22" xfId="0" applyNumberFormat="1" applyFont="1" applyFill="1" applyBorder="1" applyAlignment="1" applyProtection="1">
      <alignment horizontal="center" vertical="center" wrapText="1"/>
      <protection locked="0" hidden="1"/>
    </xf>
    <xf numFmtId="0" fontId="10" fillId="2" borderId="22" xfId="0" applyNumberFormat="1" applyFont="1" applyFill="1" applyBorder="1" applyAlignment="1" applyProtection="1">
      <alignment horizontal="center" vertical="center" wrapText="1"/>
      <protection locked="0" hidden="1"/>
    </xf>
    <xf numFmtId="0" fontId="10" fillId="0" borderId="22" xfId="0" applyNumberFormat="1" applyFont="1" applyFill="1" applyBorder="1" applyAlignment="1" applyProtection="1">
      <alignment horizontal="center" vertical="center" wrapText="1"/>
      <protection locked="0" hidden="1"/>
    </xf>
    <xf numFmtId="0" fontId="6" fillId="2" borderId="22" xfId="0" applyNumberFormat="1" applyFont="1" applyFill="1" applyBorder="1" applyAlignment="1" applyProtection="1">
      <alignment horizontal="left" vertical="center" wrapText="1"/>
      <protection locked="0" hidden="1"/>
    </xf>
    <xf numFmtId="0" fontId="10" fillId="2" borderId="24" xfId="0" applyNumberFormat="1" applyFont="1" applyFill="1" applyBorder="1" applyAlignment="1" applyProtection="1">
      <alignment horizontal="center" vertical="center" wrapText="1"/>
      <protection locked="0" hidden="1"/>
    </xf>
    <xf numFmtId="0" fontId="6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10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6" fillId="2" borderId="23" xfId="0" applyNumberFormat="1" applyFont="1" applyFill="1" applyBorder="1" applyAlignment="1" applyProtection="1">
      <alignment horizontal="left" vertical="center" wrapText="1"/>
      <protection locked="0" hidden="1"/>
    </xf>
    <xf numFmtId="0" fontId="7" fillId="2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6" fillId="0" borderId="23" xfId="0" applyNumberFormat="1" applyFont="1" applyBorder="1" applyAlignment="1" applyProtection="1">
      <alignment horizontal="left" vertical="center" wrapText="1"/>
      <protection locked="0" hidden="1"/>
    </xf>
    <xf numFmtId="0" fontId="6" fillId="0" borderId="23" xfId="0" applyNumberFormat="1" applyFont="1" applyBorder="1" applyAlignment="1" applyProtection="1">
      <alignment vertical="center" wrapText="1"/>
      <protection locked="0" hidden="1"/>
    </xf>
    <xf numFmtId="0" fontId="10" fillId="0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0" fillId="0" borderId="24" xfId="0" applyNumberFormat="1" applyBorder="1" applyAlignment="1" applyProtection="1">
      <alignment vertical="center" wrapText="1"/>
      <protection locked="0" hidden="1"/>
    </xf>
    <xf numFmtId="0" fontId="0" fillId="0" borderId="23" xfId="0" applyNumberFormat="1" applyBorder="1" applyAlignment="1" applyProtection="1">
      <alignment vertical="center" wrapText="1"/>
      <protection locked="0" hidden="1"/>
    </xf>
    <xf numFmtId="0" fontId="6" fillId="2" borderId="17" xfId="0" applyNumberFormat="1" applyFont="1" applyFill="1" applyBorder="1" applyAlignment="1" applyProtection="1">
      <alignment horizontal="left" vertical="center" wrapText="1"/>
      <protection locked="0" hidden="1"/>
    </xf>
    <xf numFmtId="0" fontId="6" fillId="2" borderId="15" xfId="0" applyNumberFormat="1" applyFont="1" applyFill="1" applyBorder="1" applyAlignment="1" applyProtection="1">
      <alignment horizontal="left" vertical="center" wrapText="1"/>
      <protection locked="0" hidden="1"/>
    </xf>
    <xf numFmtId="0" fontId="6" fillId="0" borderId="15" xfId="0" applyNumberFormat="1" applyFont="1" applyBorder="1" applyAlignment="1" applyProtection="1">
      <alignment vertical="center" wrapText="1"/>
      <protection locked="0" hidden="1"/>
    </xf>
    <xf numFmtId="0" fontId="6" fillId="0" borderId="15" xfId="0" applyNumberFormat="1" applyFont="1" applyBorder="1" applyAlignment="1" applyProtection="1">
      <alignment horizontal="left" vertical="center" wrapText="1"/>
      <protection locked="0" hidden="1"/>
    </xf>
    <xf numFmtId="0" fontId="7" fillId="2" borderId="15" xfId="0" applyNumberFormat="1" applyFont="1" applyFill="1" applyBorder="1" applyAlignment="1" applyProtection="1">
      <alignment horizontal="center" vertical="center" wrapText="1"/>
      <protection locked="0" hidden="1"/>
    </xf>
    <xf numFmtId="0" fontId="0" fillId="0" borderId="15" xfId="0" applyNumberFormat="1" applyBorder="1" applyAlignment="1" applyProtection="1">
      <alignment vertical="center" wrapText="1"/>
      <protection locked="0" hidden="1"/>
    </xf>
    <xf numFmtId="0" fontId="0" fillId="0" borderId="41" xfId="0" applyNumberFormat="1" applyBorder="1"/>
    <xf numFmtId="0" fontId="0" fillId="0" borderId="10" xfId="0" applyNumberFormat="1" applyBorder="1"/>
    <xf numFmtId="0" fontId="0" fillId="0" borderId="26" xfId="0" applyNumberFormat="1" applyBorder="1"/>
    <xf numFmtId="12" fontId="10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12" fontId="6" fillId="2" borderId="149" xfId="0" applyNumberFormat="1" applyFont="1" applyFill="1" applyBorder="1" applyAlignment="1" applyProtection="1">
      <alignment horizontal="center" vertical="center" wrapText="1"/>
      <protection locked="0" hidden="1"/>
    </xf>
    <xf numFmtId="12" fontId="10" fillId="2" borderId="6" xfId="0" applyNumberFormat="1" applyFont="1" applyFill="1" applyBorder="1" applyAlignment="1" applyProtection="1">
      <alignment horizontal="center" vertical="center" wrapText="1"/>
      <protection locked="0" hidden="1"/>
    </xf>
    <xf numFmtId="0" fontId="6" fillId="7" borderId="17" xfId="0" applyFont="1" applyFill="1" applyBorder="1" applyAlignment="1" applyProtection="1">
      <alignment horizontal="center" vertical="center" wrapText="1"/>
      <protection locked="0" hidden="1"/>
    </xf>
    <xf numFmtId="49" fontId="6" fillId="2" borderId="153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131" xfId="0" applyNumberFormat="1" applyFont="1" applyFill="1" applyBorder="1" applyAlignment="1" applyProtection="1">
      <alignment horizontal="center" vertical="center" wrapText="1"/>
      <protection locked="0"/>
    </xf>
    <xf numFmtId="20" fontId="10" fillId="6" borderId="113" xfId="0" applyNumberFormat="1" applyFont="1" applyFill="1" applyBorder="1" applyAlignment="1" applyProtection="1">
      <alignment horizontal="center" vertical="center" wrapText="1"/>
    </xf>
    <xf numFmtId="20" fontId="10" fillId="6" borderId="104" xfId="0" applyNumberFormat="1" applyFont="1" applyFill="1" applyBorder="1" applyAlignment="1" applyProtection="1">
      <alignment horizontal="center" vertical="center" wrapText="1"/>
    </xf>
    <xf numFmtId="169" fontId="6" fillId="6" borderId="97" xfId="0" applyNumberFormat="1" applyFont="1" applyFill="1" applyBorder="1" applyAlignment="1" applyProtection="1">
      <alignment horizontal="center" vertical="center" wrapText="1"/>
    </xf>
    <xf numFmtId="169" fontId="6" fillId="6" borderId="92" xfId="0" applyNumberFormat="1" applyFont="1" applyFill="1" applyBorder="1" applyAlignment="1" applyProtection="1">
      <alignment horizontal="center" vertical="center" wrapText="1"/>
    </xf>
    <xf numFmtId="49" fontId="10" fillId="2" borderId="9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96" xfId="0" applyNumberFormat="1" applyFont="1" applyFill="1" applyBorder="1" applyAlignment="1" applyProtection="1">
      <alignment horizontal="center" vertical="center" wrapText="1"/>
      <protection locked="0"/>
    </xf>
    <xf numFmtId="12" fontId="10" fillId="2" borderId="97" xfId="0" applyNumberFormat="1" applyFont="1" applyFill="1" applyBorder="1" applyAlignment="1" applyProtection="1">
      <alignment horizontal="center" vertical="center" wrapText="1"/>
      <protection locked="0"/>
    </xf>
    <xf numFmtId="12" fontId="10" fillId="2" borderId="92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97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96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97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96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73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31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59" xfId="0" applyNumberFormat="1" applyFont="1" applyFill="1" applyBorder="1" applyAlignment="1" applyProtection="1">
      <alignment horizontal="left" vertical="center" wrapText="1"/>
      <protection locked="0"/>
    </xf>
    <xf numFmtId="49" fontId="7" fillId="0" borderId="49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50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43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66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67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63" xfId="0" applyFont="1" applyFill="1" applyBorder="1" applyAlignment="1" applyProtection="1">
      <alignment horizontal="center" vertical="center" wrapText="1"/>
    </xf>
    <xf numFmtId="0" fontId="7" fillId="3" borderId="64" xfId="0" applyFont="1" applyFill="1" applyBorder="1" applyAlignment="1" applyProtection="1">
      <alignment horizontal="center" vertical="center" wrapText="1"/>
    </xf>
    <xf numFmtId="0" fontId="7" fillId="3" borderId="65" xfId="0" applyFont="1" applyFill="1" applyBorder="1" applyAlignment="1" applyProtection="1">
      <alignment horizontal="center" vertical="center" wrapText="1"/>
    </xf>
    <xf numFmtId="0" fontId="7" fillId="3" borderId="43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7" fillId="11" borderId="60" xfId="0" applyFont="1" applyFill="1" applyBorder="1" applyAlignment="1" applyProtection="1">
      <alignment horizontal="center" vertical="center" wrapText="1"/>
      <protection locked="0"/>
    </xf>
    <xf numFmtId="0" fontId="7" fillId="11" borderId="68" xfId="0" applyFont="1" applyFill="1" applyBorder="1" applyAlignment="1" applyProtection="1">
      <alignment horizontal="center" vertical="center" wrapText="1"/>
      <protection locked="0"/>
    </xf>
    <xf numFmtId="0" fontId="7" fillId="11" borderId="69" xfId="0" applyFont="1" applyFill="1" applyBorder="1" applyAlignment="1" applyProtection="1">
      <alignment horizontal="center" vertical="center" wrapText="1"/>
      <protection locked="0"/>
    </xf>
    <xf numFmtId="0" fontId="7" fillId="11" borderId="62" xfId="0" applyFont="1" applyFill="1" applyBorder="1" applyAlignment="1" applyProtection="1">
      <alignment horizontal="center" vertical="center" wrapText="1"/>
      <protection locked="0"/>
    </xf>
    <xf numFmtId="4" fontId="6" fillId="8" borderId="121" xfId="0" applyNumberFormat="1" applyFont="1" applyFill="1" applyBorder="1" applyAlignment="1" applyProtection="1">
      <alignment horizontal="center" vertical="center" wrapText="1"/>
      <protection locked="0"/>
    </xf>
    <xf numFmtId="4" fontId="6" fillId="8" borderId="122" xfId="0" applyNumberFormat="1" applyFont="1" applyFill="1" applyBorder="1" applyAlignment="1" applyProtection="1">
      <alignment horizontal="center" vertical="center" wrapText="1"/>
      <protection locked="0"/>
    </xf>
    <xf numFmtId="4" fontId="6" fillId="8" borderId="106" xfId="0" applyNumberFormat="1" applyFont="1" applyFill="1" applyBorder="1" applyAlignment="1" applyProtection="1">
      <alignment horizontal="center" vertical="center" wrapText="1"/>
      <protection locked="0"/>
    </xf>
    <xf numFmtId="4" fontId="6" fillId="8" borderId="71" xfId="0" applyNumberFormat="1" applyFont="1" applyFill="1" applyBorder="1" applyAlignment="1" applyProtection="1">
      <alignment horizontal="center" vertical="center" wrapText="1"/>
      <protection locked="0"/>
    </xf>
    <xf numFmtId="0" fontId="7" fillId="9" borderId="42" xfId="0" applyFont="1" applyFill="1" applyBorder="1" applyAlignment="1" applyProtection="1">
      <alignment horizontal="center" vertical="center" wrapText="1"/>
    </xf>
    <xf numFmtId="0" fontId="7" fillId="9" borderId="44" xfId="0" applyFont="1" applyFill="1" applyBorder="1" applyAlignment="1" applyProtection="1">
      <alignment horizontal="center" vertical="center" wrapText="1"/>
    </xf>
    <xf numFmtId="0" fontId="7" fillId="9" borderId="51" xfId="0" applyFont="1" applyFill="1" applyBorder="1" applyAlignment="1" applyProtection="1">
      <alignment horizontal="center" vertical="center" wrapText="1"/>
    </xf>
    <xf numFmtId="0" fontId="6" fillId="2" borderId="44" xfId="0" applyFont="1" applyFill="1" applyBorder="1" applyAlignment="1" applyProtection="1">
      <alignment horizontal="center" vertical="center" wrapText="1"/>
      <protection locked="0"/>
    </xf>
    <xf numFmtId="0" fontId="6" fillId="2" borderId="51" xfId="0" applyFont="1" applyFill="1" applyBorder="1" applyAlignment="1" applyProtection="1">
      <alignment horizontal="center" vertical="center" wrapText="1"/>
      <protection locked="0"/>
    </xf>
    <xf numFmtId="0" fontId="7" fillId="7" borderId="88" xfId="0" applyFont="1" applyFill="1" applyBorder="1" applyAlignment="1" applyProtection="1">
      <alignment horizontal="left" vertical="center" wrapText="1"/>
    </xf>
    <xf numFmtId="0" fontId="7" fillId="7" borderId="75" xfId="0" applyFont="1" applyFill="1" applyBorder="1" applyAlignment="1" applyProtection="1">
      <alignment horizontal="left" vertical="center" wrapText="1"/>
    </xf>
    <xf numFmtId="0" fontId="7" fillId="7" borderId="120" xfId="0" applyFont="1" applyFill="1" applyBorder="1" applyAlignment="1" applyProtection="1">
      <alignment horizontal="left" vertical="center" wrapText="1"/>
    </xf>
    <xf numFmtId="3" fontId="6" fillId="0" borderId="73" xfId="0" applyNumberFormat="1" applyFont="1" applyFill="1" applyBorder="1" applyAlignment="1" applyProtection="1">
      <alignment horizontal="center" vertical="center" wrapText="1"/>
      <protection locked="0"/>
    </xf>
    <xf numFmtId="3" fontId="6" fillId="0" borderId="59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58" xfId="0" applyNumberFormat="1" applyFont="1" applyFill="1" applyBorder="1" applyAlignment="1" applyProtection="1">
      <alignment horizontal="left" wrapText="1"/>
      <protection locked="0"/>
    </xf>
    <xf numFmtId="49" fontId="6" fillId="2" borderId="31" xfId="0" applyNumberFormat="1" applyFont="1" applyFill="1" applyBorder="1" applyAlignment="1" applyProtection="1">
      <alignment horizontal="left" wrapText="1"/>
      <protection locked="0"/>
    </xf>
    <xf numFmtId="49" fontId="6" fillId="2" borderId="59" xfId="0" applyNumberFormat="1" applyFont="1" applyFill="1" applyBorder="1" applyAlignment="1" applyProtection="1">
      <alignment horizontal="left" wrapText="1"/>
      <protection locked="0"/>
    </xf>
    <xf numFmtId="0" fontId="7" fillId="7" borderId="130" xfId="0" applyFont="1" applyFill="1" applyBorder="1" applyAlignment="1" applyProtection="1">
      <alignment horizontal="left" vertical="center" wrapText="1"/>
    </xf>
    <xf numFmtId="0" fontId="7" fillId="7" borderId="131" xfId="0" applyFont="1" applyFill="1" applyBorder="1" applyAlignment="1" applyProtection="1">
      <alignment horizontal="left" vertical="center" wrapText="1"/>
    </xf>
    <xf numFmtId="0" fontId="7" fillId="7" borderId="132" xfId="0" applyFont="1" applyFill="1" applyBorder="1" applyAlignment="1" applyProtection="1">
      <alignment horizontal="left" vertical="center" wrapText="1"/>
    </xf>
    <xf numFmtId="0" fontId="7" fillId="7" borderId="137" xfId="0" applyFont="1" applyFill="1" applyBorder="1" applyAlignment="1" applyProtection="1">
      <alignment horizontal="left" vertical="center" wrapText="1"/>
    </xf>
    <xf numFmtId="0" fontId="7" fillId="7" borderId="138" xfId="0" applyFont="1" applyFill="1" applyBorder="1" applyAlignment="1" applyProtection="1">
      <alignment horizontal="left" vertical="center" wrapText="1"/>
    </xf>
    <xf numFmtId="0" fontId="7" fillId="7" borderId="139" xfId="0" applyFont="1" applyFill="1" applyBorder="1" applyAlignment="1" applyProtection="1">
      <alignment horizontal="left" vertical="center" wrapText="1"/>
    </xf>
    <xf numFmtId="0" fontId="7" fillId="9" borderId="49" xfId="0" applyFont="1" applyFill="1" applyBorder="1" applyAlignment="1" applyProtection="1">
      <alignment horizontal="center" vertical="center" wrapText="1"/>
    </xf>
    <xf numFmtId="0" fontId="7" fillId="9" borderId="0" xfId="0" applyFont="1" applyFill="1" applyBorder="1" applyAlignment="1" applyProtection="1">
      <alignment horizontal="center" vertical="center" wrapText="1"/>
    </xf>
    <xf numFmtId="0" fontId="7" fillId="9" borderId="50" xfId="0" applyFont="1" applyFill="1" applyBorder="1" applyAlignment="1" applyProtection="1">
      <alignment horizontal="center" vertical="center" wrapText="1"/>
    </xf>
    <xf numFmtId="0" fontId="7" fillId="9" borderId="43" xfId="0" applyFont="1" applyFill="1" applyBorder="1" applyAlignment="1" applyProtection="1">
      <alignment horizontal="center" vertical="center" wrapText="1"/>
    </xf>
    <xf numFmtId="0" fontId="7" fillId="9" borderId="66" xfId="0" applyFont="1" applyFill="1" applyBorder="1" applyAlignment="1" applyProtection="1">
      <alignment horizontal="center" vertical="center" wrapText="1"/>
    </xf>
    <xf numFmtId="0" fontId="7" fillId="9" borderId="67" xfId="0" applyFont="1" applyFill="1" applyBorder="1" applyAlignment="1" applyProtection="1">
      <alignment horizontal="center" vertical="center" wrapText="1"/>
    </xf>
    <xf numFmtId="0" fontId="7" fillId="9" borderId="63" xfId="0" applyFont="1" applyFill="1" applyBorder="1" applyAlignment="1" applyProtection="1">
      <alignment horizontal="center" vertical="center" wrapText="1"/>
    </xf>
    <xf numFmtId="0" fontId="7" fillId="9" borderId="64" xfId="0" applyFont="1" applyFill="1" applyBorder="1" applyAlignment="1" applyProtection="1">
      <alignment horizontal="center" vertical="center" wrapText="1"/>
    </xf>
    <xf numFmtId="0" fontId="7" fillId="9" borderId="65" xfId="0" applyFont="1" applyFill="1" applyBorder="1" applyAlignment="1" applyProtection="1">
      <alignment horizontal="center" vertical="center" wrapText="1"/>
    </xf>
    <xf numFmtId="3" fontId="6" fillId="2" borderId="143" xfId="0" applyNumberFormat="1" applyFont="1" applyFill="1" applyBorder="1" applyAlignment="1" applyProtection="1">
      <alignment horizontal="center" vertical="center" wrapText="1"/>
      <protection locked="0"/>
    </xf>
    <xf numFmtId="3" fontId="6" fillId="2" borderId="99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60" xfId="0" applyFont="1" applyFill="1" applyBorder="1" applyAlignment="1" applyProtection="1">
      <alignment horizontal="left" vertical="center" wrapText="1"/>
    </xf>
    <xf numFmtId="0" fontId="7" fillId="7" borderId="61" xfId="0" applyFont="1" applyFill="1" applyBorder="1" applyAlignment="1" applyProtection="1">
      <alignment horizontal="left" vertical="center" wrapText="1"/>
    </xf>
    <xf numFmtId="0" fontId="7" fillId="7" borderId="68" xfId="0" applyFont="1" applyFill="1" applyBorder="1" applyAlignment="1" applyProtection="1">
      <alignment horizontal="left" vertical="center" wrapText="1"/>
    </xf>
    <xf numFmtId="3" fontId="6" fillId="8" borderId="82" xfId="0" applyNumberFormat="1" applyFont="1" applyFill="1" applyBorder="1" applyAlignment="1" applyProtection="1">
      <alignment horizontal="center" vertical="center" wrapText="1"/>
      <protection locked="0"/>
    </xf>
    <xf numFmtId="3" fontId="6" fillId="8" borderId="114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27" xfId="0" applyNumberFormat="1" applyFont="1" applyFill="1" applyBorder="1" applyAlignment="1" applyProtection="1">
      <alignment horizontal="left" wrapText="1"/>
      <protection locked="0"/>
    </xf>
    <xf numFmtId="49" fontId="6" fillId="2" borderId="82" xfId="0" applyNumberFormat="1" applyFont="1" applyFill="1" applyBorder="1" applyAlignment="1" applyProtection="1">
      <alignment horizontal="left" wrapText="1"/>
      <protection locked="0"/>
    </xf>
    <xf numFmtId="49" fontId="6" fillId="2" borderId="114" xfId="0" applyNumberFormat="1" applyFont="1" applyFill="1" applyBorder="1" applyAlignment="1" applyProtection="1">
      <alignment horizontal="left" wrapText="1"/>
      <protection locked="0"/>
    </xf>
    <xf numFmtId="167" fontId="6" fillId="2" borderId="31" xfId="0" applyNumberFormat="1" applyFont="1" applyFill="1" applyBorder="1" applyAlignment="1" applyProtection="1">
      <alignment horizontal="center" vertical="center" wrapText="1"/>
      <protection locked="0"/>
    </xf>
    <xf numFmtId="167" fontId="6" fillId="2" borderId="59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31" xfId="0" applyFont="1" applyFill="1" applyBorder="1" applyAlignment="1" applyProtection="1">
      <alignment horizontal="center" vertical="center" wrapText="1"/>
    </xf>
    <xf numFmtId="0" fontId="6" fillId="6" borderId="59" xfId="0" applyFont="1" applyFill="1" applyBorder="1" applyAlignment="1" applyProtection="1">
      <alignment horizontal="center" vertical="center" wrapText="1"/>
    </xf>
    <xf numFmtId="0" fontId="7" fillId="3" borderId="42" xfId="0" applyFont="1" applyFill="1" applyBorder="1" applyAlignment="1" applyProtection="1">
      <alignment vertical="center" wrapText="1"/>
    </xf>
    <xf numFmtId="0" fontId="7" fillId="3" borderId="51" xfId="0" applyFont="1" applyFill="1" applyBorder="1" applyAlignment="1" applyProtection="1">
      <alignment vertical="center" wrapText="1"/>
    </xf>
    <xf numFmtId="20" fontId="10" fillId="6" borderId="112" xfId="0" applyNumberFormat="1" applyFont="1" applyFill="1" applyBorder="1" applyAlignment="1" applyProtection="1">
      <alignment horizontal="center" vertical="center" wrapText="1"/>
    </xf>
    <xf numFmtId="169" fontId="6" fillId="2" borderId="97" xfId="0" applyNumberFormat="1" applyFont="1" applyFill="1" applyBorder="1" applyAlignment="1" applyProtection="1">
      <alignment horizontal="center" vertical="center" wrapText="1"/>
      <protection locked="0" hidden="1"/>
    </xf>
    <xf numFmtId="169" fontId="6" fillId="2" borderId="96" xfId="0" applyNumberFormat="1" applyFont="1" applyFill="1" applyBorder="1" applyAlignment="1" applyProtection="1">
      <alignment horizontal="center" vertical="center" wrapText="1"/>
      <protection locked="0" hidden="1"/>
    </xf>
    <xf numFmtId="169" fontId="6" fillId="6" borderId="96" xfId="0" applyNumberFormat="1" applyFont="1" applyFill="1" applyBorder="1" applyAlignment="1" applyProtection="1">
      <alignment horizontal="center" vertical="center" wrapText="1"/>
    </xf>
    <xf numFmtId="49" fontId="10" fillId="2" borderId="97" xfId="0" applyNumberFormat="1" applyFont="1" applyFill="1" applyBorder="1" applyAlignment="1" applyProtection="1">
      <alignment horizontal="center" vertical="center" wrapText="1"/>
      <protection locked="0"/>
    </xf>
    <xf numFmtId="12" fontId="10" fillId="2" borderId="157" xfId="0" applyNumberFormat="1" applyFont="1" applyFill="1" applyBorder="1" applyAlignment="1" applyProtection="1">
      <alignment horizontal="center" vertical="center" wrapText="1"/>
      <protection locked="0"/>
    </xf>
    <xf numFmtId="12" fontId="10" fillId="2" borderId="124" xfId="0" applyNumberFormat="1" applyFont="1" applyFill="1" applyBorder="1" applyAlignment="1" applyProtection="1">
      <alignment horizontal="center" vertical="center" wrapText="1"/>
      <protection locked="0"/>
    </xf>
    <xf numFmtId="12" fontId="10" fillId="2" borderId="96" xfId="0" applyNumberFormat="1" applyFont="1" applyFill="1" applyBorder="1" applyAlignment="1" applyProtection="1">
      <alignment horizontal="center" vertical="center" wrapText="1"/>
      <protection locked="0"/>
    </xf>
    <xf numFmtId="12" fontId="10" fillId="0" borderId="97" xfId="0" applyNumberFormat="1" applyFont="1" applyFill="1" applyBorder="1" applyAlignment="1" applyProtection="1">
      <alignment horizontal="center" vertical="center" wrapText="1"/>
      <protection locked="0"/>
    </xf>
    <xf numFmtId="12" fontId="10" fillId="0" borderId="96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31" xfId="0" applyNumberFormat="1" applyFont="1" applyFill="1" applyBorder="1" applyAlignment="1" applyProtection="1">
      <alignment vertical="center" wrapText="1"/>
      <protection locked="0"/>
    </xf>
    <xf numFmtId="49" fontId="6" fillId="2" borderId="59" xfId="0" applyNumberFormat="1" applyFont="1" applyFill="1" applyBorder="1" applyAlignment="1" applyProtection="1">
      <alignment vertical="center" wrapText="1"/>
      <protection locked="0"/>
    </xf>
    <xf numFmtId="49" fontId="6" fillId="2" borderId="56" xfId="0" applyNumberFormat="1" applyFont="1" applyFill="1" applyBorder="1" applyAlignment="1" applyProtection="1">
      <alignment vertical="center" wrapText="1"/>
      <protection locked="0"/>
    </xf>
    <xf numFmtId="49" fontId="6" fillId="2" borderId="57" xfId="0" applyNumberFormat="1" applyFont="1" applyFill="1" applyBorder="1" applyAlignment="1" applyProtection="1">
      <alignment vertical="center" wrapText="1"/>
      <protection locked="0"/>
    </xf>
    <xf numFmtId="49" fontId="6" fillId="2" borderId="92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9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</xf>
    <xf numFmtId="49" fontId="6" fillId="2" borderId="63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64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65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43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66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67" xfId="0" applyNumberFormat="1" applyFont="1" applyFill="1" applyBorder="1" applyAlignment="1" applyProtection="1">
      <alignment horizontal="left" vertical="center" wrapText="1"/>
      <protection locked="0"/>
    </xf>
    <xf numFmtId="49" fontId="6" fillId="0" borderId="72" xfId="0" applyNumberFormat="1" applyFont="1" applyBorder="1" applyAlignment="1" applyProtection="1">
      <alignment horizontal="left" vertical="center" wrapText="1"/>
      <protection locked="0"/>
    </xf>
    <xf numFmtId="49" fontId="6" fillId="0" borderId="31" xfId="0" applyNumberFormat="1" applyFont="1" applyBorder="1" applyAlignment="1" applyProtection="1">
      <alignment horizontal="left" vertical="center" wrapText="1"/>
      <protection locked="0"/>
    </xf>
    <xf numFmtId="49" fontId="6" fillId="0" borderId="24" xfId="0" applyNumberFormat="1" applyFont="1" applyBorder="1" applyAlignment="1" applyProtection="1">
      <alignment horizontal="left" vertical="center" wrapText="1"/>
      <protection locked="0"/>
    </xf>
    <xf numFmtId="49" fontId="6" fillId="0" borderId="145" xfId="0" applyNumberFormat="1" applyFont="1" applyBorder="1" applyAlignment="1" applyProtection="1">
      <alignment horizontal="left" vertical="center" wrapText="1"/>
      <protection locked="0"/>
    </xf>
    <xf numFmtId="49" fontId="6" fillId="0" borderId="82" xfId="0" applyNumberFormat="1" applyFont="1" applyBorder="1" applyAlignment="1" applyProtection="1">
      <alignment horizontal="left" vertical="center" wrapText="1"/>
      <protection locked="0"/>
    </xf>
    <xf numFmtId="49" fontId="6" fillId="0" borderId="21" xfId="0" applyNumberFormat="1" applyFont="1" applyBorder="1" applyAlignment="1" applyProtection="1">
      <alignment horizontal="left" vertical="center" wrapText="1"/>
      <protection locked="0"/>
    </xf>
    <xf numFmtId="0" fontId="7" fillId="7" borderId="147" xfId="0" applyFont="1" applyFill="1" applyBorder="1" applyAlignment="1" applyProtection="1">
      <alignment horizontal="center" vertical="center" wrapText="1"/>
    </xf>
    <xf numFmtId="0" fontId="7" fillId="7" borderId="8" xfId="0" applyFont="1" applyFill="1" applyBorder="1" applyAlignment="1" applyProtection="1">
      <alignment horizontal="center" vertical="center" wrapText="1"/>
    </xf>
    <xf numFmtId="0" fontId="7" fillId="7" borderId="52" xfId="0" applyFont="1" applyFill="1" applyBorder="1" applyAlignment="1" applyProtection="1">
      <alignment horizontal="center" vertical="center" wrapText="1"/>
    </xf>
    <xf numFmtId="0" fontId="7" fillId="3" borderId="42" xfId="0" applyFont="1" applyFill="1" applyBorder="1" applyAlignment="1" applyProtection="1">
      <alignment horizontal="center" vertical="center" wrapText="1"/>
    </xf>
    <xf numFmtId="0" fontId="7" fillId="3" borderId="51" xfId="0" applyFont="1" applyFill="1" applyBorder="1" applyAlignment="1" applyProtection="1">
      <alignment horizontal="center" vertical="center" wrapText="1"/>
    </xf>
    <xf numFmtId="49" fontId="6" fillId="8" borderId="82" xfId="0" applyNumberFormat="1" applyFont="1" applyFill="1" applyBorder="1" applyAlignment="1" applyProtection="1">
      <alignment horizontal="left" vertical="center" wrapText="1"/>
      <protection locked="0"/>
    </xf>
    <xf numFmtId="49" fontId="6" fillId="8" borderId="114" xfId="0" applyNumberFormat="1" applyFont="1" applyFill="1" applyBorder="1" applyAlignment="1" applyProtection="1">
      <alignment horizontal="left" vertical="center" wrapText="1"/>
      <protection locked="0"/>
    </xf>
    <xf numFmtId="166" fontId="7" fillId="6" borderId="83" xfId="0" applyNumberFormat="1" applyFont="1" applyFill="1" applyBorder="1" applyAlignment="1" applyProtection="1">
      <alignment horizontal="center" vertical="center" wrapText="1"/>
    </xf>
    <xf numFmtId="166" fontId="7" fillId="6" borderId="78" xfId="0" applyNumberFormat="1" applyFont="1" applyFill="1" applyBorder="1" applyAlignment="1" applyProtection="1">
      <alignment horizontal="center" vertical="center" wrapText="1"/>
    </xf>
    <xf numFmtId="4" fontId="10" fillId="8" borderId="84" xfId="0" applyNumberFormat="1" applyFont="1" applyFill="1" applyBorder="1" applyAlignment="1" applyProtection="1">
      <alignment horizontal="center" vertical="center" wrapText="1"/>
      <protection locked="0"/>
    </xf>
    <xf numFmtId="4" fontId="10" fillId="8" borderId="25" xfId="0" applyNumberFormat="1" applyFont="1" applyFill="1" applyBorder="1" applyAlignment="1" applyProtection="1">
      <alignment horizontal="center" vertical="center" wrapText="1"/>
      <protection locked="0"/>
    </xf>
    <xf numFmtId="4" fontId="6" fillId="8" borderId="89" xfId="0" applyNumberFormat="1" applyFont="1" applyFill="1" applyBorder="1" applyAlignment="1" applyProtection="1">
      <alignment horizontal="center" vertical="center" wrapText="1"/>
      <protection locked="0"/>
    </xf>
    <xf numFmtId="4" fontId="6" fillId="8" borderId="78" xfId="0" applyNumberFormat="1" applyFont="1" applyFill="1" applyBorder="1" applyAlignment="1" applyProtection="1">
      <alignment horizontal="center" vertical="center" wrapText="1"/>
      <protection locked="0"/>
    </xf>
    <xf numFmtId="49" fontId="6" fillId="8" borderId="31" xfId="0" applyNumberFormat="1" applyFont="1" applyFill="1" applyBorder="1" applyAlignment="1" applyProtection="1">
      <alignment horizontal="left" vertical="center" wrapText="1"/>
      <protection locked="0"/>
    </xf>
    <xf numFmtId="49" fontId="6" fillId="8" borderId="59" xfId="0" applyNumberFormat="1" applyFont="1" applyFill="1" applyBorder="1" applyAlignment="1" applyProtection="1">
      <alignment horizontal="left" vertical="center" wrapText="1"/>
      <protection locked="0"/>
    </xf>
    <xf numFmtId="167" fontId="13" fillId="8" borderId="42" xfId="0" applyNumberFormat="1" applyFont="1" applyFill="1" applyBorder="1" applyAlignment="1" applyProtection="1">
      <alignment horizontal="center" vertical="center" wrapText="1"/>
      <protection locked="0"/>
    </xf>
    <xf numFmtId="167" fontId="13" fillId="8" borderId="81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130" xfId="0" applyFont="1" applyFill="1" applyBorder="1" applyAlignment="1" applyProtection="1">
      <alignment vertical="center" wrapText="1"/>
    </xf>
    <xf numFmtId="0" fontId="7" fillId="7" borderId="131" xfId="0" applyFont="1" applyFill="1" applyBorder="1" applyAlignment="1" applyProtection="1">
      <alignment vertical="center" wrapText="1"/>
    </xf>
    <xf numFmtId="0" fontId="7" fillId="7" borderId="132" xfId="0" applyFont="1" applyFill="1" applyBorder="1" applyAlignment="1" applyProtection="1">
      <alignment vertical="center" wrapText="1"/>
    </xf>
    <xf numFmtId="0" fontId="7" fillId="3" borderId="76" xfId="0" applyFont="1" applyFill="1" applyBorder="1" applyAlignment="1" applyProtection="1">
      <alignment horizontal="center" vertical="center" wrapText="1"/>
    </xf>
    <xf numFmtId="0" fontId="7" fillId="3" borderId="118" xfId="0" applyFont="1" applyFill="1" applyBorder="1" applyAlignment="1" applyProtection="1">
      <alignment horizontal="center" vertical="center" wrapText="1"/>
    </xf>
    <xf numFmtId="167" fontId="13" fillId="8" borderId="66" xfId="0" applyNumberFormat="1" applyFont="1" applyFill="1" applyBorder="1" applyAlignment="1" applyProtection="1">
      <alignment horizontal="center" vertical="center" wrapText="1"/>
      <protection locked="0"/>
    </xf>
    <xf numFmtId="167" fontId="13" fillId="8" borderId="67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40" xfId="0" applyNumberFormat="1" applyFont="1" applyBorder="1" applyAlignment="1" applyProtection="1">
      <alignment horizontal="left" vertical="center" wrapText="1"/>
      <protection locked="0"/>
    </xf>
    <xf numFmtId="0" fontId="7" fillId="7" borderId="42" xfId="0" applyFont="1" applyFill="1" applyBorder="1" applyAlignment="1" applyProtection="1">
      <alignment horizontal="center" vertical="center" wrapText="1"/>
    </xf>
    <xf numFmtId="0" fontId="7" fillId="7" borderId="76" xfId="0" applyFont="1" applyFill="1" applyBorder="1" applyAlignment="1" applyProtection="1">
      <alignment horizontal="center" vertical="center" wrapText="1"/>
    </xf>
    <xf numFmtId="4" fontId="6" fillId="2" borderId="79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85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80" xfId="0" applyNumberFormat="1" applyFont="1" applyFill="1" applyBorder="1" applyAlignment="1" applyProtection="1">
      <alignment horizontal="center" vertical="center" wrapText="1"/>
      <protection locked="0"/>
    </xf>
    <xf numFmtId="4" fontId="6" fillId="2" borderId="28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49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5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vertical="center" wrapText="1"/>
    </xf>
    <xf numFmtId="0" fontId="0" fillId="0" borderId="65" xfId="0" applyBorder="1" applyAlignment="1" applyProtection="1">
      <alignment vertical="center" wrapText="1"/>
    </xf>
    <xf numFmtId="0" fontId="0" fillId="0" borderId="49" xfId="0" applyBorder="1" applyAlignment="1" applyProtection="1">
      <alignment vertical="center" wrapText="1"/>
    </xf>
    <xf numFmtId="0" fontId="0" fillId="0" borderId="50" xfId="0" applyBorder="1" applyAlignment="1" applyProtection="1">
      <alignment vertical="center" wrapText="1"/>
    </xf>
    <xf numFmtId="0" fontId="0" fillId="0" borderId="43" xfId="0" applyBorder="1" applyAlignment="1" applyProtection="1">
      <alignment vertical="center" wrapText="1"/>
    </xf>
    <xf numFmtId="0" fontId="0" fillId="0" borderId="67" xfId="0" applyBorder="1" applyAlignment="1" applyProtection="1">
      <alignment vertical="center" wrapText="1"/>
    </xf>
    <xf numFmtId="0" fontId="5" fillId="0" borderId="63" xfId="0" applyNumberFormat="1" applyFont="1" applyFill="1" applyBorder="1" applyAlignment="1" applyProtection="1">
      <alignment horizontal="center" vertical="center" wrapText="1"/>
    </xf>
    <xf numFmtId="0" fontId="5" fillId="0" borderId="64" xfId="0" applyNumberFormat="1" applyFont="1" applyFill="1" applyBorder="1" applyAlignment="1" applyProtection="1">
      <alignment horizontal="center" vertical="center" wrapText="1"/>
    </xf>
    <xf numFmtId="0" fontId="5" fillId="0" borderId="65" xfId="0" applyNumberFormat="1" applyFont="1" applyFill="1" applyBorder="1" applyAlignment="1" applyProtection="1">
      <alignment horizontal="center" vertical="center" wrapText="1"/>
    </xf>
    <xf numFmtId="0" fontId="5" fillId="0" borderId="49" xfId="0" applyNumberFormat="1" applyFont="1" applyFill="1" applyBorder="1" applyAlignment="1" applyProtection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50" xfId="0" applyNumberFormat="1" applyFont="1" applyFill="1" applyBorder="1" applyAlignment="1" applyProtection="1">
      <alignment horizontal="center" vertical="center" wrapText="1"/>
    </xf>
    <xf numFmtId="0" fontId="5" fillId="0" borderId="43" xfId="0" applyNumberFormat="1" applyFont="1" applyFill="1" applyBorder="1" applyAlignment="1" applyProtection="1">
      <alignment horizontal="center" vertical="center" wrapText="1"/>
    </xf>
    <xf numFmtId="0" fontId="5" fillId="0" borderId="66" xfId="0" applyNumberFormat="1" applyFont="1" applyFill="1" applyBorder="1" applyAlignment="1" applyProtection="1">
      <alignment horizontal="center" vertical="center" wrapText="1"/>
    </xf>
    <xf numFmtId="0" fontId="5" fillId="0" borderId="67" xfId="0" applyNumberFormat="1" applyFont="1" applyFill="1" applyBorder="1" applyAlignment="1" applyProtection="1">
      <alignment horizontal="center" vertical="center" wrapText="1"/>
    </xf>
    <xf numFmtId="0" fontId="8" fillId="0" borderId="63" xfId="0" applyFont="1" applyFill="1" applyBorder="1" applyAlignment="1" applyProtection="1">
      <alignment horizontal="center" vertical="center" wrapText="1"/>
    </xf>
    <xf numFmtId="0" fontId="8" fillId="0" borderId="64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8" fillId="0" borderId="49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0" fontId="8" fillId="0" borderId="50" xfId="0" applyFont="1" applyFill="1" applyBorder="1" applyAlignment="1" applyProtection="1">
      <alignment horizontal="center" vertical="center" wrapText="1"/>
    </xf>
    <xf numFmtId="0" fontId="8" fillId="0" borderId="43" xfId="0" applyFont="1" applyFill="1" applyBorder="1" applyAlignment="1" applyProtection="1">
      <alignment horizontal="center" vertical="center" wrapText="1"/>
    </xf>
    <xf numFmtId="0" fontId="8" fillId="0" borderId="66" xfId="0" applyFont="1" applyFill="1" applyBorder="1" applyAlignment="1" applyProtection="1">
      <alignment horizontal="center" vertical="center" wrapText="1"/>
    </xf>
    <xf numFmtId="0" fontId="8" fillId="0" borderId="67" xfId="0" applyFont="1" applyFill="1" applyBorder="1" applyAlignment="1" applyProtection="1">
      <alignment horizontal="center" vertical="center" wrapText="1"/>
    </xf>
    <xf numFmtId="0" fontId="7" fillId="9" borderId="33" xfId="0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" vertical="center" wrapText="1"/>
    </xf>
    <xf numFmtId="0" fontId="7" fillId="7" borderId="49" xfId="0" applyFont="1" applyFill="1" applyBorder="1" applyAlignment="1" applyProtection="1">
      <alignment horizontal="left" vertical="center" wrapText="1"/>
    </xf>
    <xf numFmtId="0" fontId="7" fillId="7" borderId="0" xfId="0" applyFont="1" applyFill="1" applyBorder="1" applyAlignment="1" applyProtection="1">
      <alignment horizontal="left" vertical="center" wrapText="1"/>
    </xf>
    <xf numFmtId="0" fontId="7" fillId="7" borderId="124" xfId="0" applyFont="1" applyFill="1" applyBorder="1" applyAlignment="1" applyProtection="1">
      <alignment horizontal="left" vertical="center" wrapText="1"/>
    </xf>
    <xf numFmtId="49" fontId="6" fillId="8" borderId="155" xfId="0" applyNumberFormat="1" applyFont="1" applyFill="1" applyBorder="1" applyAlignment="1" applyProtection="1">
      <alignment horizontal="left" vertical="center" wrapText="1"/>
      <protection locked="0"/>
    </xf>
    <xf numFmtId="49" fontId="6" fillId="8" borderId="100" xfId="0" applyNumberFormat="1" applyFont="1" applyFill="1" applyBorder="1" applyAlignment="1" applyProtection="1">
      <alignment horizontal="left" vertical="center" wrapText="1"/>
      <protection locked="0"/>
    </xf>
    <xf numFmtId="4" fontId="6" fillId="2" borderId="38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28" xfId="0" applyNumberFormat="1" applyFont="1" applyFill="1" applyBorder="1" applyAlignment="1" applyProtection="1">
      <alignment horizontal="center" vertical="center" wrapText="1"/>
      <protection locked="0"/>
    </xf>
    <xf numFmtId="49" fontId="6" fillId="2" borderId="9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94" xfId="1" applyFont="1" applyFill="1" applyBorder="1" applyAlignment="1" applyProtection="1">
      <alignment horizontal="center" vertical="center" wrapText="1"/>
    </xf>
    <xf numFmtId="0" fontId="13" fillId="8" borderId="95" xfId="1" applyFont="1" applyFill="1" applyBorder="1" applyAlignment="1" applyProtection="1">
      <alignment horizontal="center" vertical="center" wrapText="1"/>
    </xf>
    <xf numFmtId="174" fontId="10" fillId="8" borderId="28" xfId="0" applyNumberFormat="1" applyFont="1" applyFill="1" applyBorder="1" applyAlignment="1" applyProtection="1">
      <alignment horizontal="center" vertical="center" wrapText="1"/>
      <protection locked="0"/>
    </xf>
    <xf numFmtId="174" fontId="10" fillId="8" borderId="9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125" xfId="0" applyFont="1" applyFill="1" applyBorder="1" applyAlignment="1" applyProtection="1">
      <alignment horizontal="center" vertical="center" wrapText="1"/>
    </xf>
    <xf numFmtId="0" fontId="7" fillId="7" borderId="119" xfId="0" applyFont="1" applyFill="1" applyBorder="1" applyAlignment="1" applyProtection="1">
      <alignment horizontal="center" vertical="center" wrapText="1"/>
    </xf>
    <xf numFmtId="0" fontId="7" fillId="7" borderId="126" xfId="0" applyFont="1" applyFill="1" applyBorder="1" applyAlignment="1" applyProtection="1">
      <alignment horizontal="center" vertical="center" wrapText="1"/>
    </xf>
    <xf numFmtId="0" fontId="7" fillId="7" borderId="120" xfId="0" applyFont="1" applyFill="1" applyBorder="1" applyAlignment="1" applyProtection="1">
      <alignment horizontal="center" vertical="center" wrapText="1"/>
    </xf>
    <xf numFmtId="0" fontId="7" fillId="7" borderId="11" xfId="0" applyFont="1" applyFill="1" applyBorder="1" applyAlignment="1" applyProtection="1">
      <alignment horizontal="center" vertical="center" wrapText="1"/>
    </xf>
    <xf numFmtId="0" fontId="7" fillId="7" borderId="54" xfId="0" applyFont="1" applyFill="1" applyBorder="1" applyAlignment="1" applyProtection="1">
      <alignment horizontal="center" vertical="center" wrapText="1"/>
    </xf>
    <xf numFmtId="0" fontId="7" fillId="7" borderId="146" xfId="0" applyFont="1" applyFill="1" applyBorder="1" applyAlignment="1" applyProtection="1">
      <alignment horizontal="left" vertical="center" wrapText="1"/>
    </xf>
    <xf numFmtId="0" fontId="7" fillId="7" borderId="106" xfId="0" applyFont="1" applyFill="1" applyBorder="1" applyAlignment="1" applyProtection="1">
      <alignment horizontal="left" vertical="center" wrapText="1"/>
    </xf>
    <xf numFmtId="49" fontId="6" fillId="0" borderId="143" xfId="0" applyNumberFormat="1" applyFont="1" applyFill="1" applyBorder="1" applyAlignment="1" applyProtection="1">
      <alignment horizontal="left" vertical="center" wrapText="1"/>
      <protection locked="0"/>
    </xf>
    <xf numFmtId="49" fontId="6" fillId="0" borderId="99" xfId="0" applyNumberFormat="1" applyFont="1" applyFill="1" applyBorder="1" applyAlignment="1" applyProtection="1">
      <alignment horizontal="left" vertical="center" wrapText="1"/>
      <protection locked="0"/>
    </xf>
    <xf numFmtId="4" fontId="6" fillId="0" borderId="56" xfId="0" applyNumberFormat="1" applyFont="1" applyBorder="1" applyAlignment="1" applyProtection="1">
      <alignment horizontal="left" vertical="center" wrapText="1"/>
      <protection locked="0"/>
    </xf>
    <xf numFmtId="4" fontId="6" fillId="0" borderId="57" xfId="0" applyNumberFormat="1" applyFont="1" applyBorder="1" applyAlignment="1" applyProtection="1">
      <alignment horizontal="left" vertical="center" wrapText="1"/>
      <protection locked="0"/>
    </xf>
    <xf numFmtId="0" fontId="7" fillId="7" borderId="65" xfId="0" applyFont="1" applyFill="1" applyBorder="1" applyAlignment="1" applyProtection="1">
      <alignment horizontal="center" vertical="center" wrapText="1"/>
    </xf>
    <xf numFmtId="0" fontId="7" fillId="7" borderId="111" xfId="0" applyFont="1" applyFill="1" applyBorder="1" applyAlignment="1" applyProtection="1">
      <alignment horizontal="center" vertical="center" wrapText="1"/>
    </xf>
    <xf numFmtId="49" fontId="6" fillId="2" borderId="44" xfId="0" applyNumberFormat="1" applyFont="1" applyFill="1" applyBorder="1" applyAlignment="1" applyProtection="1">
      <alignment horizontal="left" vertical="top" wrapText="1"/>
      <protection locked="0"/>
    </xf>
    <xf numFmtId="49" fontId="6" fillId="2" borderId="51" xfId="0" applyNumberFormat="1" applyFont="1" applyFill="1" applyBorder="1" applyAlignment="1" applyProtection="1">
      <alignment horizontal="left" vertical="top" wrapText="1"/>
      <protection locked="0"/>
    </xf>
    <xf numFmtId="15" fontId="7" fillId="7" borderId="42" xfId="0" applyNumberFormat="1" applyFont="1" applyFill="1" applyBorder="1" applyAlignment="1" applyProtection="1">
      <alignment horizontal="center" vertical="center" wrapText="1"/>
    </xf>
    <xf numFmtId="15" fontId="7" fillId="7" borderId="44" xfId="0" applyNumberFormat="1" applyFont="1" applyFill="1" applyBorder="1" applyAlignment="1" applyProtection="1">
      <alignment horizontal="center" vertical="center" wrapText="1"/>
    </xf>
    <xf numFmtId="15" fontId="7" fillId="7" borderId="51" xfId="0" applyNumberFormat="1" applyFont="1" applyFill="1" applyBorder="1" applyAlignment="1" applyProtection="1">
      <alignment horizontal="center" vertical="center" wrapText="1"/>
    </xf>
    <xf numFmtId="0" fontId="7" fillId="0" borderId="60" xfId="0" applyFont="1" applyBorder="1" applyAlignment="1" applyProtection="1">
      <alignment horizontal="center" vertical="center" wrapText="1"/>
    </xf>
    <xf numFmtId="0" fontId="7" fillId="0" borderId="68" xfId="0" applyFont="1" applyBorder="1" applyAlignment="1" applyProtection="1">
      <alignment horizontal="center" vertical="center" wrapText="1"/>
    </xf>
    <xf numFmtId="0" fontId="7" fillId="0" borderId="53" xfId="0" applyFont="1" applyBorder="1" applyAlignment="1" applyProtection="1">
      <alignment horizontal="center" vertical="center" wrapText="1"/>
    </xf>
    <xf numFmtId="0" fontId="7" fillId="0" borderId="108" xfId="0" applyFont="1" applyBorder="1" applyAlignment="1" applyProtection="1">
      <alignment horizontal="center" vertical="center" wrapText="1"/>
    </xf>
    <xf numFmtId="15" fontId="7" fillId="9" borderId="42" xfId="0" applyNumberFormat="1" applyFont="1" applyFill="1" applyBorder="1" applyAlignment="1" applyProtection="1">
      <alignment horizontal="center" vertical="center" wrapText="1"/>
    </xf>
    <xf numFmtId="15" fontId="7" fillId="9" borderId="51" xfId="0" applyNumberFormat="1" applyFont="1" applyFill="1" applyBorder="1" applyAlignment="1" applyProtection="1">
      <alignment horizontal="center" vertical="center" wrapText="1"/>
    </xf>
    <xf numFmtId="0" fontId="6" fillId="7" borderId="131" xfId="0" applyFont="1" applyFill="1" applyBorder="1" applyAlignment="1" applyProtection="1">
      <alignment horizontal="left" vertical="center" wrapText="1"/>
    </xf>
    <xf numFmtId="0" fontId="6" fillId="7" borderId="132" xfId="0" applyFont="1" applyFill="1" applyBorder="1" applyAlignment="1" applyProtection="1">
      <alignment horizontal="left" vertical="center" wrapText="1"/>
    </xf>
    <xf numFmtId="49" fontId="6" fillId="0" borderId="144" xfId="0" applyNumberFormat="1" applyFont="1" applyBorder="1" applyAlignment="1" applyProtection="1">
      <alignment horizontal="left" vertical="center" wrapText="1"/>
      <protection locked="0"/>
    </xf>
    <xf numFmtId="49" fontId="6" fillId="0" borderId="57" xfId="0" applyNumberFormat="1" applyFont="1" applyBorder="1" applyAlignment="1" applyProtection="1">
      <alignment horizontal="left" vertical="center" wrapText="1"/>
      <protection locked="0"/>
    </xf>
    <xf numFmtId="0" fontId="7" fillId="7" borderId="110" xfId="0" applyFont="1" applyFill="1" applyBorder="1" applyAlignment="1" applyProtection="1">
      <alignment horizontal="center" vertical="center" wrapText="1"/>
    </xf>
    <xf numFmtId="0" fontId="7" fillId="7" borderId="100" xfId="0" applyFont="1" applyFill="1" applyBorder="1" applyAlignment="1" applyProtection="1">
      <alignment horizontal="center" vertical="center" wrapText="1"/>
    </xf>
    <xf numFmtId="49" fontId="6" fillId="0" borderId="63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77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49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89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148" xfId="0" applyFont="1" applyFill="1" applyBorder="1" applyAlignment="1" applyProtection="1">
      <alignment horizontal="center" vertical="center" wrapText="1"/>
    </xf>
    <xf numFmtId="0" fontId="7" fillId="7" borderId="57" xfId="0" applyFont="1" applyFill="1" applyBorder="1" applyAlignment="1" applyProtection="1">
      <alignment horizontal="center" vertical="center" wrapText="1"/>
    </xf>
    <xf numFmtId="49" fontId="6" fillId="2" borderId="90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82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14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55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34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00" xfId="0" applyNumberFormat="1" applyFont="1" applyFill="1" applyBorder="1" applyAlignment="1" applyProtection="1">
      <alignment horizontal="left" vertical="center" wrapText="1"/>
      <protection locked="0"/>
    </xf>
    <xf numFmtId="4" fontId="6" fillId="2" borderId="53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64" xfId="0" applyFont="1" applyFill="1" applyBorder="1" applyAlignment="1" applyProtection="1">
      <alignment horizontal="center" vertical="center" wrapText="1"/>
    </xf>
    <xf numFmtId="0" fontId="7" fillId="2" borderId="65" xfId="0" applyFont="1" applyFill="1" applyBorder="1" applyAlignment="1" applyProtection="1">
      <alignment horizontal="center" vertical="center" wrapText="1"/>
    </xf>
    <xf numFmtId="0" fontId="7" fillId="2" borderId="66" xfId="0" applyFont="1" applyFill="1" applyBorder="1" applyAlignment="1" applyProtection="1">
      <alignment horizontal="center" vertical="center" wrapText="1"/>
    </xf>
    <xf numFmtId="0" fontId="7" fillId="2" borderId="67" xfId="0" applyFont="1" applyFill="1" applyBorder="1" applyAlignment="1" applyProtection="1">
      <alignment horizontal="center" vertical="center" wrapText="1"/>
    </xf>
    <xf numFmtId="0" fontId="7" fillId="2" borderId="53" xfId="0" applyFont="1" applyFill="1" applyBorder="1" applyAlignment="1" applyProtection="1">
      <alignment horizontal="center" vertical="center" wrapText="1"/>
    </xf>
    <xf numFmtId="0" fontId="7" fillId="2" borderId="108" xfId="0" applyFont="1" applyFill="1" applyBorder="1" applyAlignment="1" applyProtection="1">
      <alignment horizontal="center" vertical="center" wrapText="1"/>
    </xf>
    <xf numFmtId="49" fontId="6" fillId="2" borderId="53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97" xfId="0" applyNumberFormat="1" applyFont="1" applyBorder="1" applyAlignment="1" applyProtection="1">
      <alignment horizontal="center" vertical="center" wrapText="1"/>
      <protection locked="0"/>
    </xf>
    <xf numFmtId="49" fontId="6" fillId="0" borderId="96" xfId="0" applyNumberFormat="1" applyFont="1" applyBorder="1" applyAlignment="1" applyProtection="1">
      <alignment horizontal="center" vertical="center" wrapText="1"/>
      <protection locked="0"/>
    </xf>
    <xf numFmtId="4" fontId="6" fillId="0" borderId="97" xfId="0" applyNumberFormat="1" applyFont="1" applyBorder="1" applyAlignment="1" applyProtection="1">
      <alignment horizontal="center" vertical="center" wrapText="1"/>
      <protection locked="0"/>
    </xf>
    <xf numFmtId="4" fontId="6" fillId="0" borderId="96" xfId="0" applyNumberFormat="1" applyFont="1" applyBorder="1" applyAlignment="1" applyProtection="1">
      <alignment horizontal="center" vertical="center" wrapText="1"/>
      <protection locked="0"/>
    </xf>
    <xf numFmtId="49" fontId="6" fillId="2" borderId="134" xfId="0" applyNumberFormat="1" applyFont="1" applyFill="1" applyBorder="1" applyAlignment="1" applyProtection="1">
      <alignment vertical="center" wrapText="1"/>
      <protection locked="0"/>
    </xf>
    <xf numFmtId="49" fontId="6" fillId="2" borderId="100" xfId="0" applyNumberFormat="1" applyFont="1" applyFill="1" applyBorder="1" applyAlignment="1" applyProtection="1">
      <alignment vertical="center" wrapText="1"/>
      <protection locked="0"/>
    </xf>
    <xf numFmtId="49" fontId="6" fillId="0" borderId="31" xfId="0" applyNumberFormat="1" applyFont="1" applyBorder="1" applyAlignment="1" applyProtection="1">
      <alignment vertical="center" wrapText="1"/>
      <protection locked="0"/>
    </xf>
    <xf numFmtId="49" fontId="6" fillId="0" borderId="59" xfId="0" applyNumberFormat="1" applyFont="1" applyBorder="1" applyAlignment="1" applyProtection="1">
      <alignment vertical="center" wrapText="1"/>
      <protection locked="0"/>
    </xf>
    <xf numFmtId="15" fontId="7" fillId="7" borderId="18" xfId="0" applyNumberFormat="1" applyFont="1" applyFill="1" applyBorder="1" applyAlignment="1" applyProtection="1">
      <alignment horizontal="center" vertical="center" wrapText="1"/>
    </xf>
    <xf numFmtId="15" fontId="7" fillId="7" borderId="4" xfId="0" applyNumberFormat="1" applyFont="1" applyFill="1" applyBorder="1" applyAlignment="1" applyProtection="1">
      <alignment horizontal="center" vertical="center" wrapText="1"/>
    </xf>
    <xf numFmtId="0" fontId="7" fillId="0" borderId="92" xfId="0" applyFont="1" applyBorder="1" applyAlignment="1" applyProtection="1">
      <alignment horizontal="center" vertical="center" wrapText="1"/>
    </xf>
    <xf numFmtId="0" fontId="7" fillId="0" borderId="88" xfId="0" applyFont="1" applyBorder="1" applyAlignment="1" applyProtection="1">
      <alignment horizontal="center" vertical="center" wrapText="1"/>
    </xf>
    <xf numFmtId="0" fontId="7" fillId="0" borderId="120" xfId="0" applyFont="1" applyBorder="1" applyAlignment="1" applyProtection="1">
      <alignment horizontal="center" vertical="center" wrapText="1"/>
    </xf>
    <xf numFmtId="169" fontId="10" fillId="2" borderId="92" xfId="0" applyNumberFormat="1" applyFont="1" applyFill="1" applyBorder="1" applyAlignment="1" applyProtection="1">
      <alignment horizontal="center" vertical="center" wrapText="1"/>
      <protection locked="0" hidden="1"/>
    </xf>
    <xf numFmtId="169" fontId="10" fillId="2" borderId="9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152" xfId="0" applyFont="1" applyFill="1" applyBorder="1" applyAlignment="1" applyProtection="1">
      <alignment horizontal="center" vertical="center" wrapText="1"/>
    </xf>
    <xf numFmtId="0" fontId="7" fillId="2" borderId="131" xfId="0" applyFont="1" applyFill="1" applyBorder="1" applyAlignment="1" applyProtection="1">
      <alignment horizontal="center" vertical="center" wrapText="1"/>
    </xf>
    <xf numFmtId="0" fontId="7" fillId="2" borderId="153" xfId="0" applyFont="1" applyFill="1" applyBorder="1" applyAlignment="1" applyProtection="1">
      <alignment horizontal="center" vertical="center" wrapText="1"/>
    </xf>
    <xf numFmtId="0" fontId="7" fillId="2" borderId="117" xfId="0" applyFont="1" applyFill="1" applyBorder="1" applyAlignment="1" applyProtection="1">
      <alignment horizontal="center" vertical="center" wrapText="1"/>
    </xf>
    <xf numFmtId="0" fontId="7" fillId="2" borderId="151" xfId="0" applyFont="1" applyFill="1" applyBorder="1" applyAlignment="1" applyProtection="1">
      <alignment horizontal="center" vertical="center" wrapText="1"/>
    </xf>
    <xf numFmtId="0" fontId="12" fillId="0" borderId="87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99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15" fillId="9" borderId="86" xfId="0" applyFont="1" applyFill="1" applyBorder="1" applyAlignment="1">
      <alignment horizontal="center"/>
    </xf>
    <xf numFmtId="0" fontId="15" fillId="9" borderId="51" xfId="0" applyFont="1" applyFill="1" applyBorder="1" applyAlignment="1">
      <alignment horizontal="center"/>
    </xf>
    <xf numFmtId="0" fontId="0" fillId="0" borderId="101" xfId="0" applyBorder="1" applyAlignment="1">
      <alignment horizontal="center"/>
    </xf>
    <xf numFmtId="0" fontId="0" fillId="0" borderId="100" xfId="0" applyBorder="1" applyAlignment="1">
      <alignment horizontal="center"/>
    </xf>
    <xf numFmtId="0" fontId="12" fillId="0" borderId="101" xfId="0" quotePrefix="1" applyFont="1" applyBorder="1" applyAlignment="1">
      <alignment horizontal="center"/>
    </xf>
    <xf numFmtId="0" fontId="12" fillId="0" borderId="98" xfId="0" applyFont="1" applyBorder="1" applyAlignment="1">
      <alignment horizontal="center"/>
    </xf>
    <xf numFmtId="0" fontId="6" fillId="2" borderId="154" xfId="0" applyFont="1" applyFill="1" applyBorder="1" applyAlignment="1" applyProtection="1">
      <alignment horizontal="left" vertical="center" wrapText="1"/>
      <protection locked="0" hidden="1"/>
    </xf>
    <xf numFmtId="0" fontId="12" fillId="2" borderId="138" xfId="0" applyFont="1" applyFill="1" applyBorder="1" applyAlignment="1" applyProtection="1">
      <alignment horizontal="left" vertical="center" wrapText="1"/>
      <protection locked="0" hidden="1"/>
    </xf>
    <xf numFmtId="0" fontId="12" fillId="2" borderId="127" xfId="0" applyFont="1" applyFill="1" applyBorder="1" applyAlignment="1" applyProtection="1">
      <alignment horizontal="left" vertical="center" wrapText="1"/>
      <protection locked="0" hidden="1"/>
    </xf>
    <xf numFmtId="0" fontId="6" fillId="2" borderId="138" xfId="0" applyFont="1" applyFill="1" applyBorder="1" applyAlignment="1" applyProtection="1">
      <alignment horizontal="left" vertical="center" wrapText="1"/>
      <protection locked="0" hidden="1"/>
    </xf>
    <xf numFmtId="0" fontId="6" fillId="2" borderId="127" xfId="0" applyFont="1" applyFill="1" applyBorder="1" applyAlignment="1" applyProtection="1">
      <alignment horizontal="left" vertical="center" wrapText="1"/>
      <protection locked="0" hidden="1"/>
    </xf>
    <xf numFmtId="0" fontId="6" fillId="2" borderId="156" xfId="0" applyFont="1" applyFill="1" applyBorder="1" applyAlignment="1" applyProtection="1">
      <alignment horizontal="left" vertical="center" wrapText="1"/>
      <protection locked="0" hidden="1"/>
    </xf>
    <xf numFmtId="0" fontId="12" fillId="2" borderId="106" xfId="0" applyFont="1" applyFill="1" applyBorder="1" applyAlignment="1" applyProtection="1">
      <alignment horizontal="left" vertical="center" wrapText="1"/>
      <protection locked="0" hidden="1"/>
    </xf>
    <xf numFmtId="0" fontId="12" fillId="2" borderId="71" xfId="0" applyFont="1" applyFill="1" applyBorder="1" applyAlignment="1" applyProtection="1">
      <alignment horizontal="left" vertical="center" wrapText="1"/>
      <protection locked="0" hidden="1"/>
    </xf>
    <xf numFmtId="20" fontId="6" fillId="2" borderId="154" xfId="0" applyNumberFormat="1" applyFont="1" applyFill="1" applyBorder="1" applyAlignment="1" applyProtection="1">
      <alignment horizontal="left" vertical="center" wrapText="1"/>
      <protection locked="0" hidden="1"/>
    </xf>
    <xf numFmtId="49" fontId="6" fillId="2" borderId="154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38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27" xfId="0" applyNumberFormat="1" applyFont="1" applyFill="1" applyBorder="1" applyAlignment="1" applyProtection="1">
      <alignment horizontal="left" vertical="center" wrapText="1"/>
      <protection locked="0"/>
    </xf>
    <xf numFmtId="0" fontId="9" fillId="8" borderId="10" xfId="0" applyFont="1" applyFill="1" applyBorder="1" applyAlignment="1" applyProtection="1">
      <alignment horizontal="center" vertical="center" wrapText="1"/>
      <protection locked="0" hidden="1"/>
    </xf>
    <xf numFmtId="0" fontId="9" fillId="8" borderId="26" xfId="0" applyFont="1" applyFill="1" applyBorder="1" applyAlignment="1" applyProtection="1">
      <alignment horizontal="center" vertical="center" wrapText="1"/>
      <protection locked="0" hidden="1"/>
    </xf>
    <xf numFmtId="0" fontId="7" fillId="3" borderId="44" xfId="0" applyFont="1" applyFill="1" applyBorder="1" applyAlignment="1" applyProtection="1">
      <alignment horizontal="center" vertical="center" wrapText="1"/>
    </xf>
    <xf numFmtId="164" fontId="7" fillId="9" borderId="7" xfId="0" applyNumberFormat="1" applyFont="1" applyFill="1" applyBorder="1" applyAlignment="1" applyProtection="1">
      <alignment horizontal="center" vertical="center" wrapText="1"/>
      <protection locked="0" hidden="1"/>
    </xf>
    <xf numFmtId="164" fontId="7" fillId="9" borderId="8" xfId="0" applyNumberFormat="1" applyFont="1" applyFill="1" applyBorder="1" applyAlignment="1" applyProtection="1">
      <alignment horizontal="center" vertical="center" wrapText="1"/>
      <protection locked="0" hidden="1"/>
    </xf>
    <xf numFmtId="164" fontId="7" fillId="9" borderId="52" xfId="0" applyNumberFormat="1" applyFont="1" applyFill="1" applyBorder="1" applyAlignment="1" applyProtection="1">
      <alignment horizontal="center" vertical="center" wrapText="1"/>
      <protection locked="0" hidden="1"/>
    </xf>
    <xf numFmtId="164" fontId="7" fillId="9" borderId="53" xfId="0" applyNumberFormat="1" applyFont="1" applyFill="1" applyBorder="1" applyAlignment="1" applyProtection="1">
      <alignment horizontal="center" vertical="center" wrapText="1"/>
      <protection locked="0" hidden="1"/>
    </xf>
    <xf numFmtId="164" fontId="7" fillId="9" borderId="47" xfId="0" applyNumberFormat="1" applyFont="1" applyFill="1" applyBorder="1" applyAlignment="1" applyProtection="1">
      <alignment horizontal="center" vertical="center" wrapText="1"/>
      <protection locked="0" hidden="1"/>
    </xf>
    <xf numFmtId="164" fontId="7" fillId="9" borderId="11" xfId="0" applyNumberFormat="1" applyFont="1" applyFill="1" applyBorder="1" applyAlignment="1" applyProtection="1">
      <alignment horizontal="center" vertical="center" wrapText="1"/>
      <protection locked="0" hidden="1"/>
    </xf>
    <xf numFmtId="164" fontId="7" fillId="9" borderId="54" xfId="0" applyNumberFormat="1" applyFont="1" applyFill="1" applyBorder="1" applyAlignment="1" applyProtection="1">
      <alignment horizontal="center" vertical="center" wrapText="1"/>
      <protection locked="0" hidden="1"/>
    </xf>
    <xf numFmtId="0" fontId="7" fillId="9" borderId="42" xfId="0" applyFont="1" applyFill="1" applyBorder="1" applyAlignment="1" applyProtection="1">
      <alignment horizontal="center" vertical="center" wrapText="1"/>
      <protection locked="0" hidden="1"/>
    </xf>
    <xf numFmtId="0" fontId="7" fillId="9" borderId="44" xfId="0" applyFont="1" applyFill="1" applyBorder="1" applyAlignment="1" applyProtection="1">
      <alignment horizontal="center" vertical="center" wrapText="1"/>
      <protection locked="0" hidden="1"/>
    </xf>
    <xf numFmtId="49" fontId="7" fillId="4" borderId="55" xfId="2" applyNumberFormat="1" applyFont="1" applyFill="1" applyBorder="1" applyAlignment="1" applyProtection="1">
      <alignment horizontal="center" vertical="center" wrapText="1"/>
      <protection locked="0" hidden="1"/>
    </xf>
    <xf numFmtId="49" fontId="7" fillId="4" borderId="16" xfId="2" applyNumberFormat="1" applyFont="1" applyFill="1" applyBorder="1" applyAlignment="1" applyProtection="1">
      <alignment horizontal="center" vertical="center" wrapText="1"/>
      <protection locked="0" hidden="1"/>
    </xf>
    <xf numFmtId="0" fontId="13" fillId="0" borderId="23" xfId="2" applyNumberFormat="1" applyFont="1" applyFill="1" applyBorder="1" applyAlignment="1" applyProtection="1">
      <alignment horizontal="center" vertical="center" wrapText="1"/>
      <protection locked="0" hidden="1"/>
    </xf>
    <xf numFmtId="0" fontId="13" fillId="0" borderId="10" xfId="2" applyNumberFormat="1" applyFont="1" applyFill="1" applyBorder="1" applyAlignment="1" applyProtection="1">
      <alignment horizontal="center" vertical="center" wrapText="1"/>
      <protection locked="0" hidden="1"/>
    </xf>
    <xf numFmtId="49" fontId="7" fillId="4" borderId="19" xfId="2" applyNumberFormat="1" applyFont="1" applyFill="1" applyBorder="1" applyAlignment="1" applyProtection="1">
      <alignment horizontal="center" vertical="center" wrapText="1"/>
      <protection locked="0" hidden="1"/>
    </xf>
    <xf numFmtId="0" fontId="7" fillId="9" borderId="51" xfId="0" applyFont="1" applyFill="1" applyBorder="1" applyAlignment="1" applyProtection="1">
      <alignment horizontal="center" vertical="center" wrapText="1"/>
      <protection locked="0" hidden="1"/>
    </xf>
    <xf numFmtId="0" fontId="7" fillId="7" borderId="152" xfId="0" applyFont="1" applyFill="1" applyBorder="1" applyAlignment="1" applyProtection="1">
      <alignment horizontal="center" vertical="center" wrapText="1"/>
      <protection locked="0" hidden="1"/>
    </xf>
    <xf numFmtId="0" fontId="7" fillId="7" borderId="131" xfId="0" applyFont="1" applyFill="1" applyBorder="1" applyAlignment="1" applyProtection="1">
      <alignment horizontal="center" vertical="center" wrapText="1"/>
      <protection locked="0" hidden="1"/>
    </xf>
    <xf numFmtId="0" fontId="7" fillId="7" borderId="153" xfId="0" applyFont="1" applyFill="1" applyBorder="1" applyAlignment="1" applyProtection="1">
      <alignment horizontal="center" vertical="center" wrapText="1"/>
      <protection locked="0" hidden="1"/>
    </xf>
    <xf numFmtId="0" fontId="7" fillId="7" borderId="48" xfId="0" applyFont="1" applyFill="1" applyBorder="1" applyAlignment="1" applyProtection="1">
      <alignment horizontal="center" vertical="center" wrapText="1"/>
      <protection locked="0" hidden="1"/>
    </xf>
    <xf numFmtId="0" fontId="7" fillId="7" borderId="75" xfId="0" applyFont="1" applyFill="1" applyBorder="1" applyAlignment="1" applyProtection="1">
      <alignment horizontal="center" vertical="center" wrapText="1"/>
      <protection locked="0" hidden="1"/>
    </xf>
    <xf numFmtId="0" fontId="7" fillId="7" borderId="111" xfId="0" applyFont="1" applyFill="1" applyBorder="1" applyAlignment="1" applyProtection="1">
      <alignment horizontal="center" vertical="center" wrapText="1"/>
      <protection locked="0" hidden="1"/>
    </xf>
    <xf numFmtId="12" fontId="13" fillId="9" borderId="60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61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62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53" xfId="0" applyFont="1" applyFill="1" applyBorder="1" applyAlignment="1" applyProtection="1">
      <alignment horizontal="center" vertical="center" textRotation="90" wrapText="1"/>
      <protection locked="0" hidden="1"/>
    </xf>
    <xf numFmtId="0" fontId="7" fillId="2" borderId="108" xfId="0" applyFont="1" applyFill="1" applyBorder="1" applyAlignment="1" applyProtection="1">
      <alignment horizontal="center" vertical="center" textRotation="90" wrapText="1"/>
      <protection locked="0" hidden="1"/>
    </xf>
    <xf numFmtId="0" fontId="7" fillId="9" borderId="68" xfId="0" applyFont="1" applyFill="1" applyBorder="1" applyAlignment="1" applyProtection="1">
      <alignment horizontal="center" vertical="center" wrapText="1"/>
      <protection locked="0" hidden="1"/>
    </xf>
    <xf numFmtId="0" fontId="7" fillId="9" borderId="2" xfId="0" applyFont="1" applyFill="1" applyBorder="1" applyAlignment="1" applyProtection="1">
      <alignment horizontal="center" vertical="center" wrapText="1"/>
      <protection locked="0" hidden="1"/>
    </xf>
    <xf numFmtId="0" fontId="7" fillId="9" borderId="139" xfId="0" applyFont="1" applyFill="1" applyBorder="1" applyAlignment="1" applyProtection="1">
      <alignment horizontal="center" vertical="center" wrapText="1"/>
      <protection locked="0" hidden="1"/>
    </xf>
    <xf numFmtId="0" fontId="7" fillId="9" borderId="4" xfId="0" applyFont="1" applyFill="1" applyBorder="1" applyAlignment="1" applyProtection="1">
      <alignment horizontal="center" vertical="center" wrapText="1"/>
      <protection locked="0" hidden="1"/>
    </xf>
    <xf numFmtId="0" fontId="6" fillId="9" borderId="61" xfId="0" applyFont="1" applyFill="1" applyBorder="1" applyAlignment="1" applyProtection="1">
      <alignment horizontal="center" vertical="center" wrapText="1"/>
      <protection locked="0" hidden="1"/>
    </xf>
    <xf numFmtId="0" fontId="6" fillId="9" borderId="62" xfId="0" applyFont="1" applyFill="1" applyBorder="1" applyAlignment="1" applyProtection="1">
      <alignment horizontal="center" vertical="center" wrapText="1"/>
      <protection locked="0" hidden="1"/>
    </xf>
    <xf numFmtId="12" fontId="13" fillId="7" borderId="137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7" borderId="139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5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149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9" borderId="39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2" borderId="53" xfId="0" applyNumberFormat="1" applyFont="1" applyFill="1" applyBorder="1" applyAlignment="1" applyProtection="1">
      <alignment horizontal="center" vertical="center" textRotation="90" wrapText="1"/>
      <protection locked="0" hidden="1"/>
    </xf>
    <xf numFmtId="12" fontId="13" fillId="2" borderId="108" xfId="0" applyNumberFormat="1" applyFont="1" applyFill="1" applyBorder="1" applyAlignment="1" applyProtection="1">
      <alignment horizontal="center" vertical="center" textRotation="90" wrapText="1"/>
      <protection locked="0" hidden="1"/>
    </xf>
    <xf numFmtId="12" fontId="7" fillId="7" borderId="151" xfId="0" applyNumberFormat="1" applyFont="1" applyFill="1" applyBorder="1" applyAlignment="1" applyProtection="1">
      <alignment horizontal="center" vertical="center" wrapText="1"/>
      <protection locked="0" hidden="1"/>
    </xf>
    <xf numFmtId="12" fontId="7" fillId="7" borderId="47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7" borderId="151" xfId="0" applyNumberFormat="1" applyFont="1" applyFill="1" applyBorder="1" applyAlignment="1" applyProtection="1">
      <alignment horizontal="center" vertical="center" wrapText="1"/>
      <protection locked="0" hidden="1"/>
    </xf>
    <xf numFmtId="12" fontId="13" fillId="7" borderId="47" xfId="0" applyNumberFormat="1" applyFont="1" applyFill="1" applyBorder="1" applyAlignment="1" applyProtection="1">
      <alignment horizontal="center" vertical="center" wrapText="1"/>
      <protection locked="0" hidden="1"/>
    </xf>
    <xf numFmtId="0" fontId="16" fillId="10" borderId="42" xfId="3" applyFont="1" applyFill="1" applyBorder="1" applyAlignment="1" applyProtection="1">
      <alignment horizontal="center"/>
      <protection hidden="1"/>
    </xf>
    <xf numFmtId="0" fontId="16" fillId="10" borderId="44" xfId="3" applyFont="1" applyFill="1" applyBorder="1" applyAlignment="1" applyProtection="1">
      <alignment horizontal="center"/>
      <protection hidden="1"/>
    </xf>
    <xf numFmtId="0" fontId="16" fillId="10" borderId="51" xfId="3" applyFont="1" applyFill="1" applyBorder="1" applyAlignment="1" applyProtection="1">
      <alignment horizontal="center"/>
      <protection hidden="1"/>
    </xf>
    <xf numFmtId="0" fontId="15" fillId="9" borderId="42" xfId="0" applyFont="1" applyFill="1" applyBorder="1" applyAlignment="1" applyProtection="1">
      <alignment horizontal="center"/>
      <protection hidden="1"/>
    </xf>
    <xf numFmtId="0" fontId="15" fillId="9" borderId="44" xfId="0" applyFont="1" applyFill="1" applyBorder="1" applyAlignment="1" applyProtection="1">
      <alignment horizontal="center"/>
      <protection hidden="1"/>
    </xf>
    <xf numFmtId="0" fontId="15" fillId="9" borderId="51" xfId="0" applyFont="1" applyFill="1" applyBorder="1" applyAlignment="1" applyProtection="1">
      <alignment horizontal="center"/>
      <protection hidden="1"/>
    </xf>
  </cellXfs>
  <cellStyles count="21">
    <cellStyle name="Normal" xfId="0" builtinId="0"/>
    <cellStyle name="Normal 2" xfId="1"/>
    <cellStyle name="Normal 3" xfId="3"/>
    <cellStyle name="Normal 3 2" xfId="4"/>
    <cellStyle name="Normal 3 2 2" xfId="6"/>
    <cellStyle name="Normal 3 2 2 2" xfId="16"/>
    <cellStyle name="Normal 3 2 3" xfId="7"/>
    <cellStyle name="Normal 3 2 3 2" xfId="19"/>
    <cellStyle name="Normal 3 2 4" xfId="14"/>
    <cellStyle name="Normal 3 3" xfId="5"/>
    <cellStyle name="Normal 3 3 2" xfId="8"/>
    <cellStyle name="Normal 3 3 2 2" xfId="17"/>
    <cellStyle name="Normal 3 3 3" xfId="9"/>
    <cellStyle name="Normal 3 3 3 2" xfId="20"/>
    <cellStyle name="Normal 3 3 4" xfId="13"/>
    <cellStyle name="Normal 3 4" xfId="10"/>
    <cellStyle name="Normal 3 4 2" xfId="15"/>
    <cellStyle name="Normal 3 5" xfId="11"/>
    <cellStyle name="Normal 3 5 2" xfId="18"/>
    <cellStyle name="Normal 3 6" xfId="12"/>
    <cellStyle name="Normale_Novità terra 2" xfId="2"/>
  </cellStyles>
  <dxfs count="22"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 patternType="darkUp">
          <bgColor theme="0" tint="-0.14993743705557422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colors>
    <mruColors>
      <color rgb="FFFF0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AN$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AN$4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6</xdr:row>
          <xdr:rowOff>123825</xdr:rowOff>
        </xdr:from>
        <xdr:to>
          <xdr:col>9</xdr:col>
          <xdr:colOff>847725</xdr:colOff>
          <xdr:row>7</xdr:row>
          <xdr:rowOff>171450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Metric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7</xdr:row>
          <xdr:rowOff>276225</xdr:rowOff>
        </xdr:from>
        <xdr:to>
          <xdr:col>9</xdr:col>
          <xdr:colOff>885825</xdr:colOff>
          <xdr:row>9</xdr:row>
          <xdr:rowOff>19050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American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6</xdr:row>
          <xdr:rowOff>47625</xdr:rowOff>
        </xdr:from>
        <xdr:to>
          <xdr:col>10</xdr:col>
          <xdr:colOff>57150</xdr:colOff>
          <xdr:row>9</xdr:row>
          <xdr:rowOff>85725</xdr:rowOff>
        </xdr:to>
        <xdr:sp macro="" textlink="">
          <xdr:nvSpPr>
            <xdr:cNvPr id="8201" name="Group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86</xdr:row>
          <xdr:rowOff>152400</xdr:rowOff>
        </xdr:from>
        <xdr:to>
          <xdr:col>12</xdr:col>
          <xdr:colOff>76200</xdr:colOff>
          <xdr:row>87</xdr:row>
          <xdr:rowOff>161925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86</xdr:row>
          <xdr:rowOff>171450</xdr:rowOff>
        </xdr:from>
        <xdr:to>
          <xdr:col>11</xdr:col>
          <xdr:colOff>742950</xdr:colOff>
          <xdr:row>87</xdr:row>
          <xdr:rowOff>0</xdr:rowOff>
        </xdr:to>
        <xdr:sp macro="" textlink="">
          <xdr:nvSpPr>
            <xdr:cNvPr id="8215" name="Option Button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87</xdr:row>
          <xdr:rowOff>19050</xdr:rowOff>
        </xdr:from>
        <xdr:to>
          <xdr:col>12</xdr:col>
          <xdr:colOff>76200</xdr:colOff>
          <xdr:row>87</xdr:row>
          <xdr:rowOff>133350</xdr:rowOff>
        </xdr:to>
        <xdr:sp macro="" textlink="">
          <xdr:nvSpPr>
            <xdr:cNvPr id="8216" name="Option Button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DECIMAL</a:t>
              </a:r>
            </a:p>
          </xdr:txBody>
        </xdr:sp>
        <xdr:clientData/>
      </xdr:twoCellAnchor>
    </mc:Choice>
    <mc:Fallback/>
  </mc:AlternateContent>
  <xdr:twoCellAnchor editAs="oneCell">
    <xdr:from>
      <xdr:col>15</xdr:col>
      <xdr:colOff>66675</xdr:colOff>
      <xdr:row>1</xdr:row>
      <xdr:rowOff>9525</xdr:rowOff>
    </xdr:from>
    <xdr:to>
      <xdr:col>16</xdr:col>
      <xdr:colOff>531412</xdr:colOff>
      <xdr:row>4</xdr:row>
      <xdr:rowOff>85725</xdr:rowOff>
    </xdr:to>
    <xdr:pic macro="[0]!Button25_Click"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5800" y="209550"/>
          <a:ext cx="1055286" cy="676275"/>
        </a:xfrm>
        <a:prstGeom prst="rect">
          <a:avLst/>
        </a:prstGeom>
      </xdr:spPr>
    </xdr:pic>
    <xdr:clientData/>
  </xdr:twoCellAnchor>
  <xdr:twoCellAnchor editAs="oneCell">
    <xdr:from>
      <xdr:col>15</xdr:col>
      <xdr:colOff>323850</xdr:colOff>
      <xdr:row>5</xdr:row>
      <xdr:rowOff>28575</xdr:rowOff>
    </xdr:from>
    <xdr:to>
      <xdr:col>16</xdr:col>
      <xdr:colOff>342900</xdr:colOff>
      <xdr:row>6</xdr:row>
      <xdr:rowOff>47625</xdr:rowOff>
    </xdr:to>
    <xdr:pic macro="[0]!LeggeCopia"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75" y="10287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14</xdr:col>
      <xdr:colOff>295275</xdr:colOff>
      <xdr:row>33</xdr:row>
      <xdr:rowOff>47625</xdr:rowOff>
    </xdr:from>
    <xdr:to>
      <xdr:col>14</xdr:col>
      <xdr:colOff>666075</xdr:colOff>
      <xdr:row>34</xdr:row>
      <xdr:rowOff>256501</xdr:rowOff>
    </xdr:to>
    <xdr:pic macro="[0]!AggiungiRigheRigA"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2850" y="7077075"/>
          <a:ext cx="370800" cy="37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657225</xdr:colOff>
      <xdr:row>33</xdr:row>
      <xdr:rowOff>76200</xdr:rowOff>
    </xdr:from>
    <xdr:to>
      <xdr:col>14</xdr:col>
      <xdr:colOff>942948</xdr:colOff>
      <xdr:row>34</xdr:row>
      <xdr:rowOff>202276</xdr:rowOff>
    </xdr:to>
    <xdr:pic macro="[0]!rimuoviRigheRigA"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0" y="7105650"/>
          <a:ext cx="285723" cy="288000"/>
        </a:xfrm>
        <a:prstGeom prst="rect">
          <a:avLst/>
        </a:prstGeom>
      </xdr:spPr>
    </xdr:pic>
    <xdr:clientData/>
  </xdr:twoCellAnchor>
  <xdr:twoCellAnchor>
    <xdr:from>
      <xdr:col>14</xdr:col>
      <xdr:colOff>333375</xdr:colOff>
      <xdr:row>64</xdr:row>
      <xdr:rowOff>57150</xdr:rowOff>
    </xdr:from>
    <xdr:to>
      <xdr:col>14</xdr:col>
      <xdr:colOff>704175</xdr:colOff>
      <xdr:row>65</xdr:row>
      <xdr:rowOff>256500</xdr:rowOff>
    </xdr:to>
    <xdr:pic macro="[0]!AggiungiRigheRigB"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10950" y="11372850"/>
          <a:ext cx="370800" cy="370800"/>
        </a:xfrm>
        <a:prstGeom prst="rect">
          <a:avLst/>
        </a:prstGeom>
      </xdr:spPr>
    </xdr:pic>
    <xdr:clientData/>
  </xdr:twoCellAnchor>
  <xdr:twoCellAnchor>
    <xdr:from>
      <xdr:col>14</xdr:col>
      <xdr:colOff>676275</xdr:colOff>
      <xdr:row>64</xdr:row>
      <xdr:rowOff>85725</xdr:rowOff>
    </xdr:from>
    <xdr:to>
      <xdr:col>14</xdr:col>
      <xdr:colOff>961998</xdr:colOff>
      <xdr:row>65</xdr:row>
      <xdr:rowOff>202275</xdr:rowOff>
    </xdr:to>
    <xdr:pic macro="[0]!rimuoviRigheRigB"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3850" y="11401425"/>
          <a:ext cx="285723" cy="288000"/>
        </a:xfrm>
        <a:prstGeom prst="rect">
          <a:avLst/>
        </a:prstGeom>
      </xdr:spPr>
    </xdr:pic>
    <xdr:clientData/>
  </xdr:twoCellAnchor>
  <xdr:twoCellAnchor editAs="oneCell">
    <xdr:from>
      <xdr:col>48</xdr:col>
      <xdr:colOff>8461</xdr:colOff>
      <xdr:row>26</xdr:row>
      <xdr:rowOff>45508</xdr:rowOff>
    </xdr:from>
    <xdr:to>
      <xdr:col>51</xdr:col>
      <xdr:colOff>36043</xdr:colOff>
      <xdr:row>28</xdr:row>
      <xdr:rowOff>124129</xdr:rowOff>
    </xdr:to>
    <xdr:pic macro="[0]!showHideSection"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067928" y="5591175"/>
          <a:ext cx="45719" cy="485021"/>
        </a:xfrm>
        <a:prstGeom prst="rect">
          <a:avLst/>
        </a:prstGeom>
      </xdr:spPr>
    </xdr:pic>
    <xdr:clientData/>
  </xdr:twoCellAnchor>
  <xdr:twoCellAnchor editAs="oneCell">
    <xdr:from>
      <xdr:col>0</xdr:col>
      <xdr:colOff>249890</xdr:colOff>
      <xdr:row>0</xdr:row>
      <xdr:rowOff>104216</xdr:rowOff>
    </xdr:from>
    <xdr:to>
      <xdr:col>1</xdr:col>
      <xdr:colOff>268941</xdr:colOff>
      <xdr:row>4</xdr:row>
      <xdr:rowOff>42368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890" y="104216"/>
          <a:ext cx="624169" cy="8021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19050</xdr:rowOff>
    </xdr:from>
    <xdr:to>
      <xdr:col>1</xdr:col>
      <xdr:colOff>234315</xdr:colOff>
      <xdr:row>0</xdr:row>
      <xdr:rowOff>480060</xdr:rowOff>
    </xdr:to>
    <xdr:pic>
      <xdr:nvPicPr>
        <xdr:cNvPr id="2" name="Picture 1" descr="Standard r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796290" cy="461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19050</xdr:rowOff>
    </xdr:from>
    <xdr:to>
      <xdr:col>0</xdr:col>
      <xdr:colOff>853440</xdr:colOff>
      <xdr:row>0</xdr:row>
      <xdr:rowOff>480060</xdr:rowOff>
    </xdr:to>
    <xdr:pic>
      <xdr:nvPicPr>
        <xdr:cNvPr id="2" name="Picture 1" descr="Standard r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796290" cy="461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3061"/>
  <sheetViews>
    <sheetView showGridLines="0" tabSelected="1" zoomScaleNormal="100" workbookViewId="0">
      <selection activeCell="E84" sqref="E84:F84"/>
    </sheetView>
  </sheetViews>
  <sheetFormatPr baseColWidth="10" defaultColWidth="8.85546875" defaultRowHeight="12.75"/>
  <cols>
    <col min="1" max="1" width="9" style="2" customWidth="1"/>
    <col min="2" max="2" width="8.42578125" style="2" customWidth="1"/>
    <col min="3" max="3" width="11.7109375" style="2" customWidth="1"/>
    <col min="4" max="4" width="9.7109375" style="2" customWidth="1"/>
    <col min="5" max="5" width="10.140625" style="2" customWidth="1"/>
    <col min="6" max="7" width="15" style="2" customWidth="1"/>
    <col min="8" max="8" width="15.7109375" style="2" customWidth="1"/>
    <col min="9" max="9" width="12.42578125" style="2" customWidth="1"/>
    <col min="10" max="10" width="13.7109375" style="2" customWidth="1"/>
    <col min="11" max="11" width="12.42578125" style="2" customWidth="1"/>
    <col min="12" max="12" width="11.28515625" style="2" customWidth="1"/>
    <col min="13" max="13" width="11.5703125" style="2" customWidth="1"/>
    <col min="14" max="15" width="14.5703125" style="2" customWidth="1"/>
    <col min="16" max="16" width="8.85546875" style="2"/>
    <col min="17" max="17" width="16.7109375" style="2" customWidth="1"/>
    <col min="18" max="37" width="8.85546875" style="2"/>
    <col min="38" max="38" width="3.5703125" style="2" customWidth="1"/>
    <col min="39" max="39" width="14" style="2" hidden="1" customWidth="1"/>
    <col min="40" max="40" width="16.140625" style="2" hidden="1" customWidth="1"/>
    <col min="41" max="41" width="17.140625" style="2" hidden="1" customWidth="1"/>
    <col min="42" max="42" width="17.7109375" style="2" hidden="1" customWidth="1"/>
    <col min="43" max="43" width="16.85546875" style="2" hidden="1" customWidth="1"/>
    <col min="44" max="44" width="19" style="2" hidden="1" customWidth="1"/>
    <col min="45" max="45" width="25.5703125" style="2" hidden="1" customWidth="1"/>
    <col min="46" max="46" width="30.5703125" style="2" hidden="1" customWidth="1"/>
    <col min="47" max="47" width="17.28515625" style="2" hidden="1" customWidth="1"/>
    <col min="48" max="48" width="18.28515625" style="2" hidden="1" customWidth="1"/>
    <col min="49" max="49" width="15.140625" style="2" hidden="1" customWidth="1"/>
    <col min="50" max="50" width="16.28515625" style="2" hidden="1" customWidth="1"/>
    <col min="51" max="51" width="13.140625" style="2" hidden="1" customWidth="1"/>
    <col min="52" max="54" width="13.28515625" style="2" customWidth="1"/>
    <col min="55" max="16384" width="8.85546875" style="2"/>
  </cols>
  <sheetData>
    <row r="1" spans="1:49" ht="20.25" customHeight="1">
      <c r="A1" s="512"/>
      <c r="B1" s="513"/>
      <c r="C1" s="518">
        <f>IF(D11&lt;&gt;"",D11,"")</f>
        <v>5857</v>
      </c>
      <c r="D1" s="519"/>
      <c r="E1" s="520"/>
      <c r="F1" s="527" t="s">
        <v>49</v>
      </c>
      <c r="G1" s="528"/>
      <c r="H1" s="528"/>
      <c r="I1" s="528"/>
      <c r="J1" s="528"/>
      <c r="K1" s="528"/>
      <c r="L1" s="528"/>
      <c r="M1" s="529"/>
      <c r="N1" s="111" t="s">
        <v>57</v>
      </c>
      <c r="O1" s="112" t="s">
        <v>862</v>
      </c>
      <c r="Q1" s="113"/>
      <c r="AM1" s="250" t="s">
        <v>446</v>
      </c>
      <c r="AN1" s="248">
        <v>0</v>
      </c>
      <c r="AO1" s="250" t="s">
        <v>478</v>
      </c>
      <c r="AP1" s="250" t="s">
        <v>488</v>
      </c>
      <c r="AQ1" s="250" t="s">
        <v>498</v>
      </c>
      <c r="AR1" s="247"/>
      <c r="AS1" s="248" t="str">
        <f>CONCATENATE("B",SUM(AN28,15))</f>
        <v>B77</v>
      </c>
      <c r="AT1" s="248" t="str">
        <f>CONCATENATE("A",SUM(AN28,15))</f>
        <v>A77</v>
      </c>
      <c r="AU1" s="248" t="str">
        <f>CONCATENATE("C$",SUM(AN28,13))</f>
        <v>C$75</v>
      </c>
      <c r="AW1" s="116" t="s">
        <v>523</v>
      </c>
    </row>
    <row r="2" spans="1:49" ht="15.75" customHeight="1">
      <c r="A2" s="514"/>
      <c r="B2" s="515"/>
      <c r="C2" s="521"/>
      <c r="D2" s="522"/>
      <c r="E2" s="523"/>
      <c r="F2" s="530"/>
      <c r="G2" s="531"/>
      <c r="H2" s="531"/>
      <c r="I2" s="531"/>
      <c r="J2" s="531"/>
      <c r="K2" s="531"/>
      <c r="L2" s="531"/>
      <c r="M2" s="532"/>
      <c r="N2" s="114" t="s">
        <v>58</v>
      </c>
      <c r="O2" s="115"/>
      <c r="P2" s="116"/>
      <c r="AM2" s="247"/>
      <c r="AN2" s="247"/>
      <c r="AO2" s="250"/>
      <c r="AP2" s="250"/>
      <c r="AQ2" s="248" t="s">
        <v>498</v>
      </c>
      <c r="AR2" s="247"/>
      <c r="AS2" s="247"/>
      <c r="AT2" s="247"/>
      <c r="AU2" s="248" t="str">
        <f>CONCATENATE("C$",SUM(AN28,13))</f>
        <v>C$75</v>
      </c>
      <c r="AW2" s="116" t="s">
        <v>523</v>
      </c>
    </row>
    <row r="3" spans="1:49" ht="15.75" customHeight="1">
      <c r="A3" s="514"/>
      <c r="B3" s="515"/>
      <c r="C3" s="521"/>
      <c r="D3" s="522"/>
      <c r="E3" s="523"/>
      <c r="F3" s="530"/>
      <c r="G3" s="531"/>
      <c r="H3" s="531"/>
      <c r="I3" s="531"/>
      <c r="J3" s="531"/>
      <c r="K3" s="531"/>
      <c r="L3" s="531"/>
      <c r="M3" s="532"/>
      <c r="N3" s="114" t="s">
        <v>59</v>
      </c>
      <c r="O3" s="115"/>
      <c r="AM3" s="250" t="s">
        <v>302</v>
      </c>
      <c r="AN3" s="251">
        <v>2</v>
      </c>
      <c r="AO3" s="250" t="s">
        <v>479</v>
      </c>
      <c r="AP3" s="250" t="s">
        <v>489</v>
      </c>
      <c r="AQ3" s="250" t="s">
        <v>499</v>
      </c>
      <c r="AR3" s="247"/>
      <c r="AS3" s="248" t="str">
        <f>CONCATENATE("B",SUM(AN28,17))</f>
        <v>B79</v>
      </c>
      <c r="AT3" s="248" t="str">
        <f>CONCATENATE("A",SUM(AN28,17))</f>
        <v>A79</v>
      </c>
      <c r="AU3" s="248" t="str">
        <f>CONCATENATE("C$",SUM(AN28,15))</f>
        <v>C$77</v>
      </c>
      <c r="AW3" s="116" t="s">
        <v>523</v>
      </c>
    </row>
    <row r="4" spans="1:49" ht="15.75" customHeight="1">
      <c r="A4" s="514"/>
      <c r="B4" s="515"/>
      <c r="C4" s="521"/>
      <c r="D4" s="522"/>
      <c r="E4" s="523"/>
      <c r="F4" s="530"/>
      <c r="G4" s="531"/>
      <c r="H4" s="531"/>
      <c r="I4" s="531"/>
      <c r="J4" s="531"/>
      <c r="K4" s="531"/>
      <c r="L4" s="531"/>
      <c r="M4" s="532"/>
      <c r="N4" s="114" t="s">
        <v>60</v>
      </c>
      <c r="O4" s="115"/>
      <c r="AM4" s="248" t="s">
        <v>410</v>
      </c>
      <c r="AN4" s="251">
        <v>1</v>
      </c>
      <c r="AO4" s="250"/>
      <c r="AP4" s="250"/>
      <c r="AQ4" s="248" t="s">
        <v>499</v>
      </c>
      <c r="AR4" s="247"/>
      <c r="AS4" s="247"/>
      <c r="AT4" s="247"/>
      <c r="AU4" s="248" t="str">
        <f>CONCATENATE("C$",SUM(AN28,15))</f>
        <v>C$77</v>
      </c>
      <c r="AW4" s="116" t="s">
        <v>523</v>
      </c>
    </row>
    <row r="5" spans="1:49" ht="15.75" customHeight="1" thickBot="1">
      <c r="A5" s="516"/>
      <c r="B5" s="517"/>
      <c r="C5" s="524"/>
      <c r="D5" s="525"/>
      <c r="E5" s="526"/>
      <c r="F5" s="533"/>
      <c r="G5" s="534"/>
      <c r="H5" s="534"/>
      <c r="I5" s="534"/>
      <c r="J5" s="534"/>
      <c r="K5" s="534"/>
      <c r="L5" s="534"/>
      <c r="M5" s="535"/>
      <c r="N5" s="118" t="s">
        <v>1</v>
      </c>
      <c r="O5" s="310" t="s">
        <v>861</v>
      </c>
      <c r="AM5" s="247"/>
      <c r="AN5" s="250"/>
      <c r="AO5" s="250" t="s">
        <v>480</v>
      </c>
      <c r="AP5" s="250" t="s">
        <v>490</v>
      </c>
      <c r="AQ5" s="250" t="s">
        <v>500</v>
      </c>
      <c r="AR5" s="247"/>
      <c r="AS5" s="248" t="str">
        <f>CONCATENATE("B",SUM(AN28,19))</f>
        <v>B81</v>
      </c>
      <c r="AT5" s="248" t="str">
        <f>CONCATENATE("A",SUM(AN28,19))</f>
        <v>A81</v>
      </c>
      <c r="AU5" s="248" t="str">
        <f>CONCATENATE("C$",SUM(AN28,17))</f>
        <v>C$79</v>
      </c>
      <c r="AW5" s="116" t="s">
        <v>523</v>
      </c>
    </row>
    <row r="6" spans="1:49" ht="46.5" customHeight="1" thickBot="1">
      <c r="A6" s="481" t="s">
        <v>0</v>
      </c>
      <c r="B6" s="406"/>
      <c r="C6" s="406"/>
      <c r="D6" s="406"/>
      <c r="E6" s="407"/>
      <c r="F6" s="119" t="s">
        <v>1</v>
      </c>
      <c r="G6" s="536" t="s">
        <v>76</v>
      </c>
      <c r="H6" s="537"/>
      <c r="I6" s="110" t="s">
        <v>2</v>
      </c>
      <c r="J6" s="120" t="s">
        <v>302</v>
      </c>
      <c r="K6" s="119" t="str">
        <f>IF($AN$3=1,CONCATENATE("MEASURED DEPTH 
[",'UOM Configuration'!B3,"]"),CONCATENATE("MEASURED DEPTH 
[",'UOM Configuration'!C3,"]"))</f>
        <v>MEASURED DEPTH 
[ft]</v>
      </c>
      <c r="L6" s="121" t="str">
        <f>IF($AN$3=1,CONCATENATE("FOOTAGE 
[",'UOM Configuration'!B4,"]"),CONCATENATE("FOOTAGE 
[",'UOM Configuration'!C4,"]"))</f>
        <v>FOOTAGE 
[ft]</v>
      </c>
      <c r="M6" s="109" t="str">
        <f>IF($AN$3=1,"DRILLING MODE
Rotary-Slide [hrs-hrs]","DRILLING MODE
Rotary-Slide [hrs-hrs]")</f>
        <v>DRILLING MODE
Rotary-Slide [hrs-hrs]</v>
      </c>
      <c r="N6" s="119" t="str">
        <f>IF($AN$3=1,CONCATENATE("ROP 
[",'UOM Configuration'!B7,"]"),CONCATENATE("ROP 
[",'UOM Configuration'!C7,"]"))</f>
        <v>ROP 
[ft/hrs]</v>
      </c>
      <c r="O6" s="110" t="str">
        <f>IF($AN$3=1,"TOTAL DRILLING  
[hrs]","TOTAL DRILLING 
 [hrs]")</f>
        <v>TOTAL DRILLING 
 [hrs]</v>
      </c>
      <c r="AM6" s="247"/>
      <c r="AN6" s="250"/>
      <c r="AO6" s="250"/>
      <c r="AP6" s="250"/>
      <c r="AQ6" s="248" t="s">
        <v>500</v>
      </c>
      <c r="AR6" s="247"/>
      <c r="AS6" s="247"/>
      <c r="AT6" s="247"/>
      <c r="AU6" s="248" t="str">
        <f>CONCATENATE("C$",SUM(AN28,17))</f>
        <v>C$79</v>
      </c>
      <c r="AW6" s="116" t="s">
        <v>523</v>
      </c>
    </row>
    <row r="7" spans="1:49" ht="14.25" customHeight="1" thickBot="1">
      <c r="A7" s="538" t="s">
        <v>3</v>
      </c>
      <c r="B7" s="539"/>
      <c r="C7" s="540"/>
      <c r="D7" s="541" t="s">
        <v>863</v>
      </c>
      <c r="E7" s="542"/>
      <c r="F7" s="122">
        <v>43101</v>
      </c>
      <c r="G7" s="485" t="str">
        <f>IF(AND(D11&lt;&gt;"",F7&lt;&gt;""),CONCATENATE("DDR - ",D11," - ",F7-$AN$16+1, " - ", YEAR(F7)),"")</f>
        <v>DDR - 5857 - 1 - 2018</v>
      </c>
      <c r="H7" s="486"/>
      <c r="I7" s="312">
        <f>F7-DATE(2017,10,18)+1</f>
        <v>76</v>
      </c>
      <c r="J7" s="546"/>
      <c r="K7" s="487">
        <v>15232</v>
      </c>
      <c r="L7" s="506">
        <v>0</v>
      </c>
      <c r="M7" s="544" t="s">
        <v>897</v>
      </c>
      <c r="N7" s="489">
        <v>0</v>
      </c>
      <c r="O7" s="548">
        <f>204+17.5</f>
        <v>221.5</v>
      </c>
      <c r="AM7" s="247"/>
      <c r="AN7" s="248" t="b">
        <f>IF(OR(NOT(AND(F7&gt;=$AN$20,F7&lt;=$AN$21)),F9&gt;F7),FALSE,IF(F9="",IF(AND(H9="",OR(F7&gt;=E80,E80="")),TRUE,IF(AND(F9="",H9&gt;=F7),IF(OR(E80="",E80&lt;=F7),TRUE,IF(AND(F9="",H9&gt;=F7),IF(E80&gt;F7,FALSE,TRUE))))),IF(F9&lt;F7,IF(AND(H9="",OR(F7&gt;=E80,E80="")),TRUE,IF(AND(F9&lt;F7,H9&gt;F7),IF(OR(E80="",E80&lt;=F7),TRUE,IF(AND(F9&lt;F7,H9&gt;=F7),IF(E80&gt;F7,FALSE,TRUE))))))))</f>
        <v>1</v>
      </c>
      <c r="AO7" s="250" t="s">
        <v>481</v>
      </c>
      <c r="AP7" s="250" t="s">
        <v>491</v>
      </c>
      <c r="AQ7" s="250" t="s">
        <v>501</v>
      </c>
      <c r="AR7" s="247"/>
      <c r="AS7" s="248" t="str">
        <f>CONCATENATE("B",SUM(AN28,21))</f>
        <v>B83</v>
      </c>
      <c r="AT7" s="248" t="str">
        <f>CONCATENATE("A",SUM(AN28,21))</f>
        <v>A83</v>
      </c>
      <c r="AU7" s="248" t="str">
        <f>CONCATENATE("C$",SUM(AN28,19))</f>
        <v>C$81</v>
      </c>
      <c r="AW7" s="116" t="s">
        <v>523</v>
      </c>
    </row>
    <row r="8" spans="1:49" ht="23.25" customHeight="1" thickBot="1">
      <c r="A8" s="418" t="s">
        <v>6</v>
      </c>
      <c r="B8" s="419"/>
      <c r="C8" s="420"/>
      <c r="D8" s="483" t="s">
        <v>136</v>
      </c>
      <c r="E8" s="484"/>
      <c r="F8" s="405" t="s">
        <v>77</v>
      </c>
      <c r="G8" s="498"/>
      <c r="H8" s="499" t="s">
        <v>78</v>
      </c>
      <c r="I8" s="407"/>
      <c r="J8" s="546"/>
      <c r="K8" s="487"/>
      <c r="L8" s="506"/>
      <c r="M8" s="544"/>
      <c r="N8" s="489"/>
      <c r="O8" s="548"/>
      <c r="AM8" s="247"/>
      <c r="AN8" s="248" t="b">
        <f>IF(OR(NOT(AND(F9&gt;=$AN$20,F9&lt;=$AN$21))),FALSE,IF(F7="",IF(H9="",TRUE,IF(H9&gt;F9,TRUE,FALSE)),IF(F7&gt;=F9,IF(H9="",TRUE,IF(H9&gt;F9,TRUE,FALSE)))))</f>
        <v>1</v>
      </c>
      <c r="AO8" s="250"/>
      <c r="AP8" s="250"/>
      <c r="AQ8" s="248" t="s">
        <v>501</v>
      </c>
      <c r="AR8" s="247"/>
      <c r="AS8" s="247"/>
      <c r="AT8" s="247"/>
      <c r="AU8" s="248" t="str">
        <f>CONCATENATE("C$",SUM(AN28,19))</f>
        <v>C$81</v>
      </c>
      <c r="AW8" s="116" t="s">
        <v>523</v>
      </c>
    </row>
    <row r="9" spans="1:49" ht="14.25" customHeight="1" thickBot="1">
      <c r="A9" s="418" t="s">
        <v>4</v>
      </c>
      <c r="B9" s="419"/>
      <c r="C9" s="420"/>
      <c r="D9" s="491" t="s">
        <v>864</v>
      </c>
      <c r="E9" s="492"/>
      <c r="F9" s="493">
        <v>43056</v>
      </c>
      <c r="G9" s="494"/>
      <c r="H9" s="500"/>
      <c r="I9" s="501"/>
      <c r="J9" s="547"/>
      <c r="K9" s="488"/>
      <c r="L9" s="543"/>
      <c r="M9" s="545"/>
      <c r="N9" s="490"/>
      <c r="O9" s="549"/>
      <c r="AM9" s="247"/>
      <c r="AN9" s="248" t="b">
        <f>IF(OR(NOT(AND(H9&gt;=$AN$20,H9&lt;=$AN$21))),FALSE,IF(F7="",IF(F9="",TRUE,IF(H9&gt;F9,TRUE,FALSE)),IF(F7&lt;=H9,IF(F9="",TRUE,IF(H9&gt;F9,TRUE,FALSE)))))</f>
        <v>0</v>
      </c>
      <c r="AO9" s="250" t="s">
        <v>482</v>
      </c>
      <c r="AP9" s="250" t="s">
        <v>492</v>
      </c>
      <c r="AQ9" s="250" t="s">
        <v>502</v>
      </c>
      <c r="AR9" s="247"/>
      <c r="AS9" s="248" t="str">
        <f>CONCATENATE("B",SUM(AN28,23))</f>
        <v>B85</v>
      </c>
      <c r="AT9" s="248" t="str">
        <f>CONCATENATE("A",SUM(AN28,23))</f>
        <v>A85</v>
      </c>
      <c r="AU9" s="248" t="str">
        <f>CONCATENATE("C$",SUM(AN28,21))</f>
        <v>C$83</v>
      </c>
      <c r="AW9" s="116" t="s">
        <v>523</v>
      </c>
    </row>
    <row r="10" spans="1:49" ht="14.25" customHeight="1">
      <c r="A10" s="495" t="s">
        <v>445</v>
      </c>
      <c r="B10" s="496"/>
      <c r="C10" s="497"/>
      <c r="D10" s="491" t="s">
        <v>865</v>
      </c>
      <c r="E10" s="492"/>
      <c r="F10" s="391" t="s">
        <v>525</v>
      </c>
      <c r="G10" s="392"/>
      <c r="H10" s="392"/>
      <c r="I10" s="392"/>
      <c r="J10" s="392"/>
      <c r="K10" s="392"/>
      <c r="L10" s="391" t="s">
        <v>7</v>
      </c>
      <c r="M10" s="392"/>
      <c r="N10" s="392"/>
      <c r="O10" s="393"/>
      <c r="AM10" s="247"/>
      <c r="AN10" s="248" t="b">
        <f>IF(OR(NOT(AND(E80&gt;=$AN$20,E80&lt;=$AN$21))),FALSE,IF(F7="",TRUE,IF(F7&gt;=E80,TRUE,FALSE)))</f>
        <v>1</v>
      </c>
      <c r="AO10" s="250"/>
      <c r="AP10" s="250"/>
      <c r="AQ10" s="248" t="s">
        <v>502</v>
      </c>
      <c r="AR10" s="247"/>
      <c r="AS10" s="247"/>
      <c r="AT10" s="247"/>
      <c r="AU10" s="248" t="str">
        <f>CONCATENATE("C$",SUM(AN28,21))</f>
        <v>C$83</v>
      </c>
      <c r="AW10" s="116" t="s">
        <v>523</v>
      </c>
    </row>
    <row r="11" spans="1:49" ht="14.25" customHeight="1" thickBot="1">
      <c r="A11" s="495" t="s">
        <v>5</v>
      </c>
      <c r="B11" s="496"/>
      <c r="C11" s="497"/>
      <c r="D11" s="491">
        <v>5857</v>
      </c>
      <c r="E11" s="492"/>
      <c r="F11" s="394"/>
      <c r="G11" s="395"/>
      <c r="H11" s="395"/>
      <c r="I11" s="395"/>
      <c r="J11" s="395"/>
      <c r="K11" s="395"/>
      <c r="L11" s="394"/>
      <c r="M11" s="395"/>
      <c r="N11" s="395"/>
      <c r="O11" s="396"/>
      <c r="AM11" s="247"/>
      <c r="AN11" s="250" t="s">
        <v>399</v>
      </c>
      <c r="AO11" s="250" t="s">
        <v>483</v>
      </c>
      <c r="AP11" s="250" t="s">
        <v>493</v>
      </c>
      <c r="AQ11" s="250" t="s">
        <v>503</v>
      </c>
      <c r="AR11" s="247"/>
      <c r="AS11" s="248" t="str">
        <f>CONCATENATE("B",SUM(AN28,25))</f>
        <v>B87</v>
      </c>
      <c r="AT11" s="248" t="str">
        <f>CONCATENATE("A",SUM(AN28,25))</f>
        <v>A87</v>
      </c>
      <c r="AU11" s="248" t="str">
        <f>CONCATENATE("C$",SUM(AN28,23))</f>
        <v>C$85</v>
      </c>
      <c r="AW11" s="116" t="s">
        <v>523</v>
      </c>
    </row>
    <row r="12" spans="1:49" ht="16.5" customHeight="1">
      <c r="A12" s="421" t="str">
        <f>IF($AN$3=1,CONCATENATE("TARGET DEPTH [",'UOM Configuration'!B2,"]"),CONCATENATE("TARGET DEPTH [",'UOM Configuration'!C2,"]"))</f>
        <v>TARGET DEPTH [ft]</v>
      </c>
      <c r="B12" s="422"/>
      <c r="C12" s="423"/>
      <c r="D12" s="560">
        <v>14000</v>
      </c>
      <c r="E12" s="561"/>
      <c r="F12" s="550" t="str">
        <f>IF($AN$3=1,CONCATENATE("WOB 
[",'UOM Configuration'!B8,"]"),CONCATENATE("WOB 
[",'UOM Configuration'!C8,"]"))</f>
        <v>WOB 
[lbs]</v>
      </c>
      <c r="G12" s="552" t="str">
        <f>IF($AN$3=1,"RPM
[rpm]","RPM
[rpm]")</f>
        <v>RPM
[rpm]</v>
      </c>
      <c r="H12" s="552" t="str">
        <f>IF($AN$3=1,CONCATENATE("FLOW RATE 
[",'UOM Configuration'!B9,"]"),CONCATENATE("FLOW RATE 
[",'UOM Configuration'!C9,"]"))</f>
        <v>FLOW RATE 
[]</v>
      </c>
      <c r="I12" s="552" t="str">
        <f>IF($AN$3=1,"PUMP PRESSURE 
[psi]","PUMP PRESSURE 
[psi]")</f>
        <v>PUMP PRESSURE 
[psi]</v>
      </c>
      <c r="J12" s="552" t="str">
        <f>IF($AN$3=1,"SPM 
[str/min]","SPM 
[str/min]")</f>
        <v>SPM 
[str/min]</v>
      </c>
      <c r="K12" s="554" t="str">
        <f>IF($AN$3=1,"TORQUE
[ft.lbs*]","TORQUE
[ft.lbs*]")</f>
        <v>TORQUE
[ft.lbs*]</v>
      </c>
      <c r="L12" s="550" t="str">
        <f>IF($AN$3=1,CONCATENATE("VERTICAL DEPTH 
[",'UOM Configuration'!B10,"]"),CONCATENATE("VERTICAL DEPTH 
[",'UOM Configuration'!C10,"]"))</f>
        <v>VERTICAL DEPTH 
[ft]</v>
      </c>
      <c r="M12" s="552" t="str">
        <f>IF($AN$3=1,"INCLIN. [degrees]","INCLIN. [degrees]")</f>
        <v>INCLIN. [degrees]</v>
      </c>
      <c r="N12" s="552" t="str">
        <f>IF($AN$3=1,"DIRECTION 
[degrees]","DIRECTION 
[degrees]")</f>
        <v>DIRECTION 
[degrees]</v>
      </c>
      <c r="O12" s="562" t="str">
        <f>IF($AN$3=1,CONCATENATE("MD 
[",'UOM Configuration'!B11,"]"),CONCATENATE("MD 
[",'UOM Configuration'!C11,"]"))</f>
        <v>MD 
[ft]</v>
      </c>
      <c r="AM12" s="247"/>
      <c r="AN12" s="250" t="s">
        <v>400</v>
      </c>
      <c r="AO12" s="250"/>
      <c r="AP12" s="250"/>
      <c r="AQ12" s="248" t="s">
        <v>503</v>
      </c>
      <c r="AR12" s="247"/>
      <c r="AS12" s="247"/>
      <c r="AT12" s="247"/>
      <c r="AU12" s="248" t="str">
        <f>CONCATENATE("C$",SUM(AN28,23))</f>
        <v>C$85</v>
      </c>
      <c r="AW12" s="116" t="s">
        <v>523</v>
      </c>
    </row>
    <row r="13" spans="1:49" ht="16.5" customHeight="1">
      <c r="A13" s="418" t="s">
        <v>356</v>
      </c>
      <c r="B13" s="575"/>
      <c r="C13" s="576"/>
      <c r="D13" s="577" t="s">
        <v>359</v>
      </c>
      <c r="E13" s="578"/>
      <c r="F13" s="551"/>
      <c r="G13" s="553"/>
      <c r="H13" s="553"/>
      <c r="I13" s="553"/>
      <c r="J13" s="553"/>
      <c r="K13" s="555"/>
      <c r="L13" s="551"/>
      <c r="M13" s="553"/>
      <c r="N13" s="553"/>
      <c r="O13" s="563"/>
      <c r="AM13" s="247"/>
      <c r="AN13" s="250" t="s">
        <v>401</v>
      </c>
      <c r="AO13" s="250" t="s">
        <v>447</v>
      </c>
      <c r="AP13" s="250" t="s">
        <v>448</v>
      </c>
      <c r="AQ13" s="250" t="s">
        <v>449</v>
      </c>
      <c r="AR13" s="247"/>
      <c r="AS13" s="248" t="str">
        <f>CONCATENATE("B",SUM(AN28,27))</f>
        <v>B89</v>
      </c>
      <c r="AT13" s="248" t="str">
        <f>CONCATENATE("A",SUM(AN28,27))</f>
        <v>A89</v>
      </c>
      <c r="AU13" s="248" t="str">
        <f>CONCATENATE("C$",SUM(AN28,25))</f>
        <v>C$87</v>
      </c>
      <c r="AW13" s="116" t="s">
        <v>523</v>
      </c>
    </row>
    <row r="14" spans="1:49" ht="13.5" customHeight="1" thickBot="1">
      <c r="A14" s="556" t="s">
        <v>370</v>
      </c>
      <c r="B14" s="557"/>
      <c r="C14" s="557"/>
      <c r="D14" s="558" t="s">
        <v>867</v>
      </c>
      <c r="E14" s="559"/>
      <c r="F14" s="123"/>
      <c r="G14" s="124"/>
      <c r="H14" s="124">
        <v>500</v>
      </c>
      <c r="I14" s="124">
        <v>1600</v>
      </c>
      <c r="J14" s="238" t="s">
        <v>904</v>
      </c>
      <c r="K14" s="237"/>
      <c r="L14" s="123">
        <v>10512.1</v>
      </c>
      <c r="M14" s="126">
        <v>53.7</v>
      </c>
      <c r="N14" s="126">
        <v>269.7</v>
      </c>
      <c r="O14" s="125">
        <v>15232</v>
      </c>
      <c r="AM14" s="247"/>
      <c r="AN14" s="250" t="s">
        <v>402</v>
      </c>
      <c r="AO14" s="250"/>
      <c r="AP14" s="250"/>
      <c r="AQ14" s="248" t="s">
        <v>449</v>
      </c>
      <c r="AR14" s="247"/>
      <c r="AS14" s="247"/>
      <c r="AT14" s="247"/>
      <c r="AU14" s="248" t="str">
        <f>CONCATENATE("C$",SUM(AN28,25))</f>
        <v>C$87</v>
      </c>
      <c r="AW14" s="116" t="s">
        <v>523</v>
      </c>
    </row>
    <row r="15" spans="1:49" ht="18.75" customHeight="1" thickBot="1">
      <c r="A15" s="405" t="s">
        <v>8</v>
      </c>
      <c r="B15" s="406"/>
      <c r="C15" s="406"/>
      <c r="D15" s="406"/>
      <c r="E15" s="407"/>
      <c r="F15" s="405" t="s">
        <v>11</v>
      </c>
      <c r="G15" s="482"/>
      <c r="H15" s="564"/>
      <c r="I15" s="564"/>
      <c r="J15" s="564"/>
      <c r="K15" s="564"/>
      <c r="L15" s="564"/>
      <c r="M15" s="564"/>
      <c r="N15" s="564"/>
      <c r="O15" s="565"/>
      <c r="AM15" s="247"/>
      <c r="AN15" s="247"/>
      <c r="AO15" s="250" t="s">
        <v>531</v>
      </c>
      <c r="AP15" s="250" t="s">
        <v>476</v>
      </c>
      <c r="AQ15" s="250" t="s">
        <v>450</v>
      </c>
      <c r="AR15" s="247"/>
      <c r="AS15" s="248" t="str">
        <f>CONCATENATE("B",SUM(AN28,29))</f>
        <v>B91</v>
      </c>
      <c r="AT15" s="248" t="str">
        <f>CONCATENATE("A",SUM(AN28,29))</f>
        <v>A91</v>
      </c>
      <c r="AU15" s="248" t="str">
        <f>CONCATENATE("C$",SUM(AN28,27))</f>
        <v>C$89</v>
      </c>
      <c r="AW15" s="116" t="s">
        <v>523</v>
      </c>
    </row>
    <row r="16" spans="1:49" ht="15.75" customHeight="1">
      <c r="A16" s="256" t="s">
        <v>9</v>
      </c>
      <c r="B16" s="478" t="s">
        <v>10</v>
      </c>
      <c r="C16" s="479"/>
      <c r="D16" s="480"/>
      <c r="E16" s="128" t="str">
        <f>IF($AN$3=1,"WP [psi]","WP [psi]")</f>
        <v>WP [psi]</v>
      </c>
      <c r="F16" s="391" t="s">
        <v>12</v>
      </c>
      <c r="G16" s="393"/>
      <c r="H16" s="466" t="s">
        <v>896</v>
      </c>
      <c r="I16" s="467"/>
      <c r="J16" s="467"/>
      <c r="K16" s="467"/>
      <c r="L16" s="467"/>
      <c r="M16" s="468"/>
      <c r="N16" s="129" t="str">
        <f>IF($AN$3=1,CONCATENATE("LENGTH [",'UOM Configuration'!B12,"]"),CONCATENATE("LENGTH [",'UOM Configuration'!C12,"]"))</f>
        <v>LENGTH [ft]</v>
      </c>
      <c r="O16" s="130">
        <v>1365.73</v>
      </c>
      <c r="AM16" s="247"/>
      <c r="AN16" s="252" t="str">
        <f>CONCATENATE("01/01/",YEAR(F7))</f>
        <v>01/01/2018</v>
      </c>
      <c r="AO16" s="250"/>
      <c r="AP16" s="250"/>
      <c r="AQ16" s="248" t="s">
        <v>450</v>
      </c>
      <c r="AR16" s="247"/>
      <c r="AS16" s="247"/>
      <c r="AT16" s="247"/>
      <c r="AU16" s="248" t="str">
        <f>CONCATENATE("C$",SUM(AN28,27))</f>
        <v>C$89</v>
      </c>
      <c r="AW16" s="116" t="s">
        <v>523</v>
      </c>
    </row>
    <row r="17" spans="1:49" ht="53.25" customHeight="1" thickBot="1">
      <c r="A17" s="242" t="s">
        <v>879</v>
      </c>
      <c r="B17" s="475" t="s">
        <v>884</v>
      </c>
      <c r="C17" s="476"/>
      <c r="D17" s="477"/>
      <c r="E17" s="241" t="s">
        <v>880</v>
      </c>
      <c r="F17" s="394"/>
      <c r="G17" s="396"/>
      <c r="H17" s="469"/>
      <c r="I17" s="470"/>
      <c r="J17" s="470"/>
      <c r="K17" s="470"/>
      <c r="L17" s="470"/>
      <c r="M17" s="471"/>
      <c r="N17" s="133" t="str">
        <f>IF($AN$3=1,CONCATENATE("WEIGHT [",'UOM Configuration'!B13,"]"),CONCATENATE("WEIGHT [",'UOM Configuration'!C13,"]"))</f>
        <v>WEIGHT [lbs]</v>
      </c>
      <c r="O17" s="134">
        <v>72000</v>
      </c>
      <c r="AM17" s="247"/>
      <c r="AN17" s="247"/>
      <c r="AO17" s="250" t="s">
        <v>451</v>
      </c>
      <c r="AP17" s="250" t="s">
        <v>452</v>
      </c>
      <c r="AQ17" s="250" t="s">
        <v>453</v>
      </c>
      <c r="AR17" s="247"/>
      <c r="AS17" s="248" t="str">
        <f>CONCATENATE("B",SUM(AN28,31))</f>
        <v>B93</v>
      </c>
      <c r="AT17" s="248" t="str">
        <f>CONCATENATE("A",SUM(AN28,31))</f>
        <v>A93</v>
      </c>
      <c r="AU17" s="248" t="str">
        <f>CONCATENATE("C$",SUM(AN28,29))</f>
        <v>C$91</v>
      </c>
      <c r="AW17" s="116" t="s">
        <v>523</v>
      </c>
    </row>
    <row r="18" spans="1:49" ht="18.75" customHeight="1" thickBot="1">
      <c r="A18" s="131" t="s">
        <v>879</v>
      </c>
      <c r="B18" s="472" t="s">
        <v>882</v>
      </c>
      <c r="C18" s="473"/>
      <c r="D18" s="474"/>
      <c r="E18" s="132" t="s">
        <v>881</v>
      </c>
      <c r="F18" s="481" t="s">
        <v>326</v>
      </c>
      <c r="G18" s="482"/>
      <c r="H18" s="405" t="s">
        <v>21</v>
      </c>
      <c r="I18" s="406"/>
      <c r="J18" s="406"/>
      <c r="K18" s="407"/>
      <c r="L18" s="405" t="s">
        <v>18</v>
      </c>
      <c r="M18" s="406"/>
      <c r="N18" s="406"/>
      <c r="O18" s="407"/>
      <c r="Q18" s="135"/>
      <c r="R18" s="135"/>
      <c r="S18" s="135"/>
      <c r="T18" s="135"/>
      <c r="AM18" s="247"/>
      <c r="AN18" s="252"/>
      <c r="AO18" s="250"/>
      <c r="AP18" s="250"/>
      <c r="AQ18" s="248" t="s">
        <v>453</v>
      </c>
      <c r="AR18" s="247"/>
      <c r="AS18" s="247"/>
      <c r="AT18" s="247"/>
      <c r="AU18" s="248" t="str">
        <f>CONCATENATE("C$",SUM(AN28,29))</f>
        <v>C$91</v>
      </c>
      <c r="AW18" s="116" t="s">
        <v>523</v>
      </c>
    </row>
    <row r="19" spans="1:49" ht="21" customHeight="1">
      <c r="A19" s="131" t="s">
        <v>879</v>
      </c>
      <c r="B19" s="472" t="s">
        <v>883</v>
      </c>
      <c r="C19" s="473"/>
      <c r="D19" s="474"/>
      <c r="E19" s="132" t="s">
        <v>881</v>
      </c>
      <c r="F19" s="129" t="s">
        <v>13</v>
      </c>
      <c r="G19" s="136" t="s">
        <v>889</v>
      </c>
      <c r="H19" s="137" t="str">
        <f>IF($AN$3=1,"SIZE
[inches]","SIZE
[inches]")</f>
        <v>SIZE
[inches]</v>
      </c>
      <c r="I19" s="138" t="str">
        <f>IF($AN$3=1,"WEIGHT
[lb/ft]","WEIGHT
[lb/ft]")</f>
        <v>WEIGHT
[lb/ft]</v>
      </c>
      <c r="J19" s="138" t="s">
        <v>38</v>
      </c>
      <c r="K19" s="139" t="str">
        <f>IF($AN$3=1,CONCATENATE("SHOE @ 
[",'UOM Configuration'!B14,"]"),CONCATENATE("SHOE @ 
[",'UOM Configuration'!C14,"]"))</f>
        <v>SHOE @ 
[ft]</v>
      </c>
      <c r="L19" s="140" t="s">
        <v>19</v>
      </c>
      <c r="M19" s="138" t="s">
        <v>14</v>
      </c>
      <c r="N19" s="138" t="s">
        <v>20</v>
      </c>
      <c r="O19" s="139" t="s">
        <v>37</v>
      </c>
      <c r="Q19" s="141"/>
      <c r="R19" s="141"/>
      <c r="S19" s="141"/>
      <c r="T19" s="141"/>
      <c r="AM19" s="247"/>
      <c r="AN19" s="247"/>
      <c r="AO19" s="250" t="s">
        <v>454</v>
      </c>
      <c r="AP19" s="250" t="s">
        <v>494</v>
      </c>
      <c r="AQ19" s="250" t="s">
        <v>455</v>
      </c>
      <c r="AR19" s="247"/>
      <c r="AS19" s="248" t="str">
        <f>CONCATENATE("B",SUM(AN28,33))</f>
        <v>B95</v>
      </c>
      <c r="AT19" s="248" t="str">
        <f>CONCATENATE("A",SUM(AN28,33))</f>
        <v>A95</v>
      </c>
      <c r="AU19" s="248" t="str">
        <f>CONCATENATE("C$",SUM(AN28,31))</f>
        <v>C$93</v>
      </c>
      <c r="AW19" s="116" t="s">
        <v>523</v>
      </c>
    </row>
    <row r="20" spans="1:49" ht="15" customHeight="1">
      <c r="A20" s="131"/>
      <c r="B20" s="472"/>
      <c r="C20" s="473"/>
      <c r="D20" s="474"/>
      <c r="E20" s="132"/>
      <c r="F20" s="142" t="str">
        <f>IF($AN$3=1,"BIT SIZE [inches]","BIT SIZE [inches]")</f>
        <v>BIT SIZE [inches]</v>
      </c>
      <c r="G20" s="143" t="s">
        <v>890</v>
      </c>
      <c r="H20" s="144" t="s">
        <v>873</v>
      </c>
      <c r="I20" s="145">
        <v>133</v>
      </c>
      <c r="J20" s="146" t="s">
        <v>874</v>
      </c>
      <c r="K20" s="147">
        <v>604</v>
      </c>
      <c r="L20" s="315">
        <v>1</v>
      </c>
      <c r="M20" s="148" t="s">
        <v>870</v>
      </c>
      <c r="N20" s="148" t="s">
        <v>871</v>
      </c>
      <c r="O20" s="149" t="s">
        <v>872</v>
      </c>
      <c r="Q20" s="141"/>
      <c r="R20" s="150"/>
      <c r="S20" s="150"/>
      <c r="T20" s="150"/>
      <c r="AM20" s="247"/>
      <c r="AN20" s="252">
        <v>1</v>
      </c>
      <c r="AO20" s="250"/>
      <c r="AP20" s="250"/>
      <c r="AQ20" s="248" t="s">
        <v>455</v>
      </c>
      <c r="AR20" s="247"/>
      <c r="AS20" s="247"/>
      <c r="AT20" s="247"/>
      <c r="AU20" s="248" t="str">
        <f>CONCATENATE("C$",SUM(AN28,31))</f>
        <v>C$93</v>
      </c>
      <c r="AW20" s="116" t="s">
        <v>523</v>
      </c>
    </row>
    <row r="21" spans="1:49" ht="13.5" customHeight="1">
      <c r="A21" s="131"/>
      <c r="B21" s="472"/>
      <c r="C21" s="473"/>
      <c r="D21" s="474"/>
      <c r="E21" s="132"/>
      <c r="F21" s="142" t="s">
        <v>14</v>
      </c>
      <c r="G21" s="143" t="s">
        <v>891</v>
      </c>
      <c r="H21" s="151" t="s">
        <v>877</v>
      </c>
      <c r="I21" s="152">
        <v>72</v>
      </c>
      <c r="J21" s="153" t="s">
        <v>878</v>
      </c>
      <c r="K21" s="154">
        <v>6308</v>
      </c>
      <c r="L21" s="316">
        <v>2</v>
      </c>
      <c r="M21" s="148" t="s">
        <v>870</v>
      </c>
      <c r="N21" s="148" t="s">
        <v>871</v>
      </c>
      <c r="O21" s="149" t="s">
        <v>872</v>
      </c>
      <c r="Q21" s="141"/>
      <c r="R21" s="150"/>
      <c r="S21" s="150"/>
      <c r="T21" s="150"/>
      <c r="AM21" s="247"/>
      <c r="AN21" s="252">
        <v>401768</v>
      </c>
      <c r="AO21" s="250" t="s">
        <v>456</v>
      </c>
      <c r="AP21" s="250" t="s">
        <v>495</v>
      </c>
      <c r="AQ21" s="250" t="s">
        <v>457</v>
      </c>
      <c r="AR21" s="247"/>
      <c r="AS21" s="248" t="str">
        <f>CONCATENATE("B",SUM(AN28,35))</f>
        <v>B97</v>
      </c>
      <c r="AT21" s="248" t="str">
        <f>CONCATENATE("A",SUM(AN28,35))</f>
        <v>A97</v>
      </c>
      <c r="AU21" s="248" t="str">
        <f>CONCATENATE("C$",SUM(AN28,33))</f>
        <v>C$95</v>
      </c>
      <c r="AW21" s="116" t="s">
        <v>523</v>
      </c>
    </row>
    <row r="22" spans="1:49" ht="15.75" customHeight="1">
      <c r="A22" s="131"/>
      <c r="B22" s="472"/>
      <c r="C22" s="473"/>
      <c r="D22" s="474"/>
      <c r="E22" s="132"/>
      <c r="F22" s="142" t="s">
        <v>15</v>
      </c>
      <c r="G22" s="156" t="s">
        <v>892</v>
      </c>
      <c r="H22" s="157" t="s">
        <v>887</v>
      </c>
      <c r="I22" s="158">
        <v>53.5</v>
      </c>
      <c r="J22" s="159" t="s">
        <v>878</v>
      </c>
      <c r="K22" s="160">
        <v>10409</v>
      </c>
      <c r="L22" s="316">
        <v>3</v>
      </c>
      <c r="M22" s="148" t="s">
        <v>870</v>
      </c>
      <c r="N22" s="148" t="s">
        <v>871</v>
      </c>
      <c r="O22" s="155" t="s">
        <v>872</v>
      </c>
      <c r="Q22" s="141"/>
      <c r="R22" s="150"/>
      <c r="S22" s="150"/>
      <c r="T22" s="150"/>
      <c r="AM22" s="247"/>
      <c r="AN22" s="253"/>
      <c r="AO22" s="247"/>
      <c r="AP22" s="247"/>
      <c r="AQ22" s="248" t="s">
        <v>457</v>
      </c>
      <c r="AR22" s="247"/>
      <c r="AS22" s="247"/>
      <c r="AT22" s="247"/>
      <c r="AU22" s="248" t="str">
        <f>CONCATENATE("C$",SUM(AN28,33))</f>
        <v>C$95</v>
      </c>
      <c r="AW22" s="116" t="s">
        <v>523</v>
      </c>
    </row>
    <row r="23" spans="1:49" ht="15.6" customHeight="1">
      <c r="A23" s="131"/>
      <c r="B23" s="472"/>
      <c r="C23" s="473"/>
      <c r="D23" s="474"/>
      <c r="E23" s="132"/>
      <c r="F23" s="142" t="s">
        <v>16</v>
      </c>
      <c r="G23" s="161" t="s">
        <v>893</v>
      </c>
      <c r="H23" s="151"/>
      <c r="I23" s="152"/>
      <c r="J23" s="153"/>
      <c r="K23" s="162"/>
      <c r="L23" s="316"/>
      <c r="M23" s="153"/>
      <c r="N23" s="153"/>
      <c r="O23" s="155"/>
      <c r="Q23" s="141"/>
      <c r="R23" s="150"/>
      <c r="S23" s="150"/>
      <c r="T23" s="150"/>
      <c r="AM23" s="247"/>
      <c r="AN23" s="254">
        <v>0</v>
      </c>
      <c r="AO23" s="250" t="s">
        <v>458</v>
      </c>
      <c r="AP23" s="250" t="s">
        <v>496</v>
      </c>
      <c r="AQ23" s="250" t="s">
        <v>504</v>
      </c>
      <c r="AR23" s="247"/>
      <c r="AS23" s="248" t="str">
        <f>CONCATENATE("B",SUM(AN28,37))</f>
        <v>B99</v>
      </c>
      <c r="AT23" s="248" t="str">
        <f>CONCATENATE("A",SUM(AN28,37))</f>
        <v>A99</v>
      </c>
      <c r="AU23" s="248" t="str">
        <f>CONCATENATE("C$",SUM(AN28,35))</f>
        <v>C$97</v>
      </c>
      <c r="AW23" s="116" t="s">
        <v>523</v>
      </c>
    </row>
    <row r="24" spans="1:49" ht="16.149999999999999" customHeight="1">
      <c r="A24" s="131"/>
      <c r="B24" s="472"/>
      <c r="C24" s="473"/>
      <c r="D24" s="474"/>
      <c r="E24" s="132"/>
      <c r="F24" s="142" t="s">
        <v>17</v>
      </c>
      <c r="G24" s="163" t="s">
        <v>894</v>
      </c>
      <c r="H24" s="151"/>
      <c r="I24" s="152"/>
      <c r="J24" s="153"/>
      <c r="K24" s="162"/>
      <c r="L24" s="316"/>
      <c r="M24" s="153"/>
      <c r="N24" s="153"/>
      <c r="O24" s="155"/>
      <c r="Q24" s="135"/>
      <c r="R24" s="135"/>
      <c r="S24" s="135"/>
      <c r="T24" s="135"/>
      <c r="AM24" s="247"/>
      <c r="AN24" s="257">
        <v>1</v>
      </c>
      <c r="AO24" s="247"/>
      <c r="AP24" s="247"/>
      <c r="AQ24" s="248" t="s">
        <v>459</v>
      </c>
      <c r="AR24" s="247"/>
      <c r="AS24" s="247"/>
      <c r="AT24" s="247"/>
      <c r="AU24" s="248" t="str">
        <f>CONCATENATE("C$",SUM(AN28,35))</f>
        <v>C$97</v>
      </c>
      <c r="AW24" s="116" t="s">
        <v>523</v>
      </c>
    </row>
    <row r="25" spans="1:49" ht="15.75" customHeight="1">
      <c r="A25" s="131"/>
      <c r="B25" s="472"/>
      <c r="C25" s="473"/>
      <c r="D25" s="474"/>
      <c r="E25" s="132"/>
      <c r="F25" s="142" t="s">
        <v>303</v>
      </c>
      <c r="G25" s="143" t="s">
        <v>895</v>
      </c>
      <c r="H25" s="157"/>
      <c r="I25" s="152"/>
      <c r="J25" s="153"/>
      <c r="K25" s="162"/>
      <c r="L25" s="316"/>
      <c r="M25" s="153"/>
      <c r="N25" s="153"/>
      <c r="O25" s="155"/>
      <c r="Q25" s="465"/>
      <c r="R25" s="465"/>
      <c r="S25" s="164"/>
      <c r="T25" s="164"/>
      <c r="AM25" s="247"/>
      <c r="AN25" s="247"/>
      <c r="AO25" s="250" t="s">
        <v>460</v>
      </c>
      <c r="AP25" s="250" t="s">
        <v>497</v>
      </c>
      <c r="AQ25" s="248" t="s">
        <v>461</v>
      </c>
      <c r="AR25" s="247"/>
      <c r="AS25" s="248" t="str">
        <f>CONCATENATE("B",SUM(AN28,39))</f>
        <v>B101</v>
      </c>
      <c r="AT25" s="248" t="str">
        <f>CONCATENATE("A",SUM(AN28,39))</f>
        <v>A101</v>
      </c>
      <c r="AU25" s="248" t="str">
        <f>CONCATENATE("C$",SUM(AN28,37))</f>
        <v>C$99</v>
      </c>
      <c r="AW25" s="116" t="s">
        <v>523</v>
      </c>
    </row>
    <row r="26" spans="1:49" ht="15.75" customHeight="1">
      <c r="A26" s="131"/>
      <c r="B26" s="472"/>
      <c r="C26" s="473"/>
      <c r="D26" s="474"/>
      <c r="E26" s="132"/>
      <c r="F26" s="142" t="s">
        <v>304</v>
      </c>
      <c r="G26" s="143"/>
      <c r="H26" s="165"/>
      <c r="I26" s="166"/>
      <c r="J26" s="167"/>
      <c r="K26" s="168"/>
      <c r="L26" s="317"/>
      <c r="M26" s="167"/>
      <c r="N26" s="167"/>
      <c r="O26" s="169"/>
      <c r="Q26" s="164"/>
      <c r="R26" s="164"/>
      <c r="S26" s="164"/>
      <c r="T26" s="164"/>
      <c r="AM26" s="247"/>
      <c r="AN26" s="247"/>
      <c r="AO26" s="247"/>
      <c r="AP26" s="247"/>
      <c r="AQ26" s="248" t="s">
        <v>461</v>
      </c>
      <c r="AR26" s="247"/>
      <c r="AS26" s="247"/>
      <c r="AT26" s="247"/>
      <c r="AU26" s="248" t="str">
        <f>CONCATENATE("C$",SUM(AN28,37))</f>
        <v>C$99</v>
      </c>
      <c r="AW26" s="116" t="s">
        <v>523</v>
      </c>
    </row>
    <row r="27" spans="1:49" ht="18" customHeight="1">
      <c r="A27" s="131"/>
      <c r="B27" s="472" t="s">
        <v>886</v>
      </c>
      <c r="C27" s="473"/>
      <c r="D27" s="474"/>
      <c r="E27" s="132" t="s">
        <v>900</v>
      </c>
      <c r="F27" s="142" t="str">
        <f>IF($AN$3=1,"BIT HOURS [hrs]","BIT HOURS [hrs]")</f>
        <v>BIT HOURS [hrs]</v>
      </c>
      <c r="G27" s="319"/>
      <c r="H27" s="165"/>
      <c r="I27" s="166"/>
      <c r="J27" s="167"/>
      <c r="K27" s="168"/>
      <c r="L27" s="317"/>
      <c r="M27" s="167"/>
      <c r="N27" s="167"/>
      <c r="O27" s="169"/>
      <c r="Q27" s="164"/>
      <c r="R27" s="164"/>
      <c r="S27" s="164"/>
      <c r="T27" s="164"/>
      <c r="AM27" s="247"/>
      <c r="AN27" s="248">
        <v>14</v>
      </c>
      <c r="AO27" s="250" t="s">
        <v>462</v>
      </c>
      <c r="AP27" s="250" t="s">
        <v>463</v>
      </c>
      <c r="AQ27" s="250" t="s">
        <v>464</v>
      </c>
      <c r="AR27" s="247"/>
      <c r="AS27" s="248" t="str">
        <f>CONCATENATE("B",SUM(AN28,41))</f>
        <v>B103</v>
      </c>
      <c r="AT27" s="248" t="str">
        <f>CONCATENATE("A",SUM(AN28,41))</f>
        <v>A103</v>
      </c>
      <c r="AU27" s="248" t="str">
        <f>CONCATENATE("C$",SUM(AN28,39))</f>
        <v>C$101</v>
      </c>
      <c r="AW27" s="116" t="s">
        <v>523</v>
      </c>
    </row>
    <row r="28" spans="1:49" ht="14.25" customHeight="1" thickBot="1">
      <c r="A28" s="131"/>
      <c r="B28" s="472" t="s">
        <v>885</v>
      </c>
      <c r="C28" s="473"/>
      <c r="D28" s="502"/>
      <c r="E28" s="170" t="s">
        <v>901</v>
      </c>
      <c r="F28" s="133" t="str">
        <f>IF($AN$3=1,CONCATENATE("DRILLED [",'UOM Configuration'!B15,"]"),CONCATENATE("DRILLED [",'UOM Configuration'!C15,"]"))</f>
        <v>DRILLED [ft]</v>
      </c>
      <c r="G28" s="171"/>
      <c r="H28" s="172"/>
      <c r="I28" s="166"/>
      <c r="J28" s="167"/>
      <c r="K28" s="168"/>
      <c r="L28" s="318"/>
      <c r="M28" s="173"/>
      <c r="N28" s="173"/>
      <c r="O28" s="174"/>
      <c r="Q28" s="150"/>
      <c r="R28" s="150"/>
      <c r="S28" s="164"/>
      <c r="T28" s="164"/>
      <c r="AM28" s="247"/>
      <c r="AN28" s="248">
        <v>62</v>
      </c>
      <c r="AO28" s="247"/>
      <c r="AP28" s="247"/>
      <c r="AQ28" s="248" t="s">
        <v>464</v>
      </c>
      <c r="AR28" s="247"/>
      <c r="AS28" s="247"/>
      <c r="AT28" s="247"/>
      <c r="AU28" s="248" t="str">
        <f>CONCATENATE("C$",SUM(AN28,39))</f>
        <v>C$101</v>
      </c>
      <c r="AW28" s="116" t="s">
        <v>523</v>
      </c>
    </row>
    <row r="29" spans="1:49" ht="13.5" customHeight="1" thickBot="1">
      <c r="A29" s="391" t="s">
        <v>23</v>
      </c>
      <c r="B29" s="392"/>
      <c r="C29" s="393"/>
      <c r="D29" s="405" t="s">
        <v>24</v>
      </c>
      <c r="E29" s="406"/>
      <c r="F29" s="406"/>
      <c r="G29" s="406"/>
      <c r="H29" s="406"/>
      <c r="I29" s="406"/>
      <c r="J29" s="406"/>
      <c r="K29" s="407"/>
      <c r="L29" s="405" t="s">
        <v>22</v>
      </c>
      <c r="M29" s="406"/>
      <c r="N29" s="406"/>
      <c r="O29" s="482"/>
      <c r="Q29" s="175"/>
      <c r="R29" s="175"/>
      <c r="S29" s="175"/>
      <c r="T29" s="175"/>
      <c r="AM29" s="247"/>
      <c r="AN29" s="247"/>
      <c r="AO29" s="250" t="s">
        <v>465</v>
      </c>
      <c r="AP29" s="250" t="s">
        <v>466</v>
      </c>
      <c r="AQ29" s="250" t="s">
        <v>467</v>
      </c>
      <c r="AR29" s="247"/>
      <c r="AS29" s="248" t="str">
        <f>CONCATENATE("B",SUM(AN28,43))</f>
        <v>B105</v>
      </c>
      <c r="AT29" s="248" t="str">
        <f>CONCATENATE("A",SUM(AN28,43))</f>
        <v>A105</v>
      </c>
      <c r="AU29" s="248" t="str">
        <f>CONCATENATE("C$",SUM(AN28,41))</f>
        <v>C$103</v>
      </c>
      <c r="AW29" s="116" t="s">
        <v>523</v>
      </c>
    </row>
    <row r="30" spans="1:49" ht="34.15" customHeight="1" thickBot="1">
      <c r="A30" s="394"/>
      <c r="B30" s="395"/>
      <c r="C30" s="396"/>
      <c r="D30" s="573" t="s">
        <v>327</v>
      </c>
      <c r="E30" s="574"/>
      <c r="F30" s="176" t="s">
        <v>14</v>
      </c>
      <c r="G30" s="177" t="s">
        <v>35</v>
      </c>
      <c r="H30" s="177" t="s">
        <v>36</v>
      </c>
      <c r="I30" s="177" t="str">
        <f>IF($AN$3=1,CONCATENATE("DAILY 
[",'UOM Configuration'!B16,"]"),CONCATENATE("DAILY 
[",'UOM Configuration'!C16,"]"))</f>
        <v>DAILY 
[ton/mile daily]</v>
      </c>
      <c r="J30" s="177" t="str">
        <f>IF($AN$3=1,CONCATENATE("TOTAL 
[",'UOM Configuration'!B17,"]"),CONCATENATE("TOTAL [",'UOM Configuration'!C17,"]"))</f>
        <v>TOTAL [ton/mile daily]</v>
      </c>
      <c r="K30" s="178" t="str">
        <f>IF($AN$3=1,CONCATENATE("SINCE LAST CUT 
[",'UOM Configuration'!B18,"]"),CONCATENATE("SINCE LAST CUT 
[",'UOM Configuration'!C18,"]"))</f>
        <v>SINCE LAST CUT 
[ton/mile daily]</v>
      </c>
      <c r="L30" s="503" t="s">
        <v>15</v>
      </c>
      <c r="M30" s="504"/>
      <c r="N30" s="179" t="str">
        <f>IF($AN$3=1,CONCATENATE("WEIGHT 
[",'UOM Configuration'!B19,"]"),CONCATENATE("WEIGHT 
[",'UOM Configuration'!C19,"]"))</f>
        <v>WEIGHT 
[ppg]</v>
      </c>
      <c r="O30" s="180" t="str">
        <f>IF($AN$3=1,"VISCOSITY 
[mPa x sec]","VISCOSITY 
[mPa x sec]")</f>
        <v>VISCOSITY 
[mPa x sec]</v>
      </c>
      <c r="Q30" s="175"/>
      <c r="R30" s="175"/>
      <c r="S30" s="175"/>
      <c r="T30" s="175"/>
      <c r="AM30" s="247"/>
      <c r="AN30" s="255"/>
      <c r="AO30" s="247"/>
      <c r="AP30" s="247"/>
      <c r="AQ30" s="248" t="s">
        <v>505</v>
      </c>
      <c r="AR30" s="247"/>
      <c r="AS30" s="247"/>
      <c r="AT30" s="247"/>
      <c r="AU30" s="248" t="str">
        <f>CONCATENATE("C$",SUM(AN28,41))</f>
        <v>C$103</v>
      </c>
      <c r="AW30" s="116" t="s">
        <v>523</v>
      </c>
    </row>
    <row r="31" spans="1:49" ht="23.45" customHeight="1" thickBot="1">
      <c r="A31" s="509">
        <v>43082</v>
      </c>
      <c r="B31" s="510"/>
      <c r="C31" s="511"/>
      <c r="D31" s="579" t="s">
        <v>328</v>
      </c>
      <c r="E31" s="580"/>
      <c r="F31" s="181" t="s">
        <v>876</v>
      </c>
      <c r="G31" s="182" t="s">
        <v>869</v>
      </c>
      <c r="H31" s="182" t="s">
        <v>868</v>
      </c>
      <c r="I31" s="183"/>
      <c r="J31" s="183"/>
      <c r="K31" s="184"/>
      <c r="L31" s="581" t="s">
        <v>875</v>
      </c>
      <c r="M31" s="582"/>
      <c r="N31" s="505">
        <v>9.1999999999999993</v>
      </c>
      <c r="O31" s="507">
        <v>62</v>
      </c>
      <c r="Q31" s="175"/>
      <c r="R31" s="175"/>
      <c r="S31" s="175"/>
      <c r="T31" s="175"/>
      <c r="AM31" s="247"/>
      <c r="AN31" s="248"/>
      <c r="AO31" s="250" t="s">
        <v>484</v>
      </c>
      <c r="AP31" s="250" t="s">
        <v>468</v>
      </c>
      <c r="AQ31" s="250" t="s">
        <v>469</v>
      </c>
      <c r="AR31" s="247"/>
      <c r="AS31" s="248" t="str">
        <f>CONCATENATE("B",SUM(AN28,45))</f>
        <v>B107</v>
      </c>
      <c r="AT31" s="248" t="str">
        <f>CONCATENATE("A",SUM(AN28,45))</f>
        <v>A107</v>
      </c>
      <c r="AU31" s="248" t="str">
        <f>CONCATENATE("C$",SUM(AN28,43))</f>
        <v>C$105</v>
      </c>
      <c r="AW31" s="116" t="s">
        <v>523</v>
      </c>
    </row>
    <row r="32" spans="1:49" ht="13.5" hidden="1" customHeight="1" thickBot="1">
      <c r="A32" s="509"/>
      <c r="B32" s="510"/>
      <c r="C32" s="511"/>
      <c r="D32" s="585" t="s">
        <v>329</v>
      </c>
      <c r="E32" s="586"/>
      <c r="F32" s="243"/>
      <c r="G32" s="244"/>
      <c r="H32" s="244"/>
      <c r="I32" s="245"/>
      <c r="J32" s="245"/>
      <c r="K32" s="246"/>
      <c r="L32" s="583"/>
      <c r="M32" s="584"/>
      <c r="N32" s="506"/>
      <c r="O32" s="508"/>
      <c r="Q32" s="175"/>
      <c r="R32" s="175"/>
      <c r="S32" s="175"/>
      <c r="T32" s="175"/>
      <c r="AM32" s="247"/>
      <c r="AN32" s="247"/>
      <c r="AO32" s="250"/>
      <c r="AP32" s="250"/>
      <c r="AQ32" s="250" t="s">
        <v>469</v>
      </c>
      <c r="AR32" s="247"/>
      <c r="AS32" s="247"/>
      <c r="AT32" s="247"/>
      <c r="AU32" s="248" t="str">
        <f>CONCATENATE("C$",SUM(AN28,43))</f>
        <v>C$105</v>
      </c>
      <c r="AW32" s="116" t="s">
        <v>523</v>
      </c>
    </row>
    <row r="33" spans="1:51" ht="13.5" customHeight="1" thickBot="1">
      <c r="A33" s="566" t="s">
        <v>328</v>
      </c>
      <c r="B33" s="567"/>
      <c r="C33" s="567"/>
      <c r="D33" s="567"/>
      <c r="E33" s="567"/>
      <c r="F33" s="567"/>
      <c r="G33" s="567"/>
      <c r="H33" s="567"/>
      <c r="I33" s="567"/>
      <c r="J33" s="567"/>
      <c r="K33" s="567"/>
      <c r="L33" s="567"/>
      <c r="M33" s="567"/>
      <c r="N33" s="567"/>
      <c r="O33" s="568"/>
      <c r="Q33" s="175"/>
      <c r="R33" s="175"/>
      <c r="S33" s="175"/>
      <c r="T33" s="175"/>
      <c r="AM33" s="247"/>
      <c r="AN33" s="248">
        <v>5</v>
      </c>
      <c r="AO33" s="248" t="s">
        <v>485</v>
      </c>
      <c r="AP33" s="248" t="s">
        <v>470</v>
      </c>
      <c r="AQ33" s="248" t="s">
        <v>471</v>
      </c>
      <c r="AR33" s="247"/>
      <c r="AS33" s="248" t="str">
        <f>CONCATENATE("B",SUM(AN28,47))</f>
        <v>B109</v>
      </c>
      <c r="AT33" s="248" t="str">
        <f>CONCATENATE("A",SUM(AN28,47))</f>
        <v>A109</v>
      </c>
      <c r="AU33" s="248" t="str">
        <f>CONCATENATE("C$",SUM(AN28,45))</f>
        <v>C$107</v>
      </c>
      <c r="AW33" s="116" t="s">
        <v>523</v>
      </c>
    </row>
    <row r="34" spans="1:51" ht="13.15" customHeight="1">
      <c r="A34" s="569" t="s">
        <v>25</v>
      </c>
      <c r="B34" s="570"/>
      <c r="C34" s="571" t="s">
        <v>26</v>
      </c>
      <c r="D34" s="571" t="s">
        <v>442</v>
      </c>
      <c r="E34" s="571" t="s">
        <v>443</v>
      </c>
      <c r="F34" s="598" t="s">
        <v>604</v>
      </c>
      <c r="G34" s="598" t="str">
        <f>IF($AN$3=1,CONCATENATE("START DEPTH 
[",'UOM Configuration'!B5,"]"),CONCATENATE("START DEPTH 
[",'UOM Configuration'!C5,"]"))</f>
        <v>START DEPTH 
[ft]</v>
      </c>
      <c r="H34" s="598" t="str">
        <f>IF($AN$3=1,CONCATENATE("END DEPTH 
[",'UOM Configuration'!B6,"]"),CONCATENATE("END DEPTH 
[",'UOM Configuration'!C6,"]"))</f>
        <v>END DEPTH 
[ft]</v>
      </c>
      <c r="I34" s="594" t="s">
        <v>27</v>
      </c>
      <c r="J34" s="594"/>
      <c r="K34" s="594"/>
      <c r="L34" s="594"/>
      <c r="M34" s="594"/>
      <c r="N34" s="594"/>
      <c r="O34" s="595"/>
      <c r="Q34" s="175"/>
      <c r="R34" s="175"/>
      <c r="S34" s="175"/>
      <c r="T34" s="175"/>
      <c r="AM34" s="247"/>
      <c r="AN34" s="248">
        <v>75</v>
      </c>
      <c r="AO34" s="250"/>
      <c r="AP34" s="250"/>
      <c r="AQ34" s="250" t="s">
        <v>471</v>
      </c>
      <c r="AR34" s="247"/>
      <c r="AS34" s="247"/>
      <c r="AT34" s="247"/>
      <c r="AU34" s="248" t="str">
        <f>CONCATENATE("C$",SUM(AN28,45))</f>
        <v>C$107</v>
      </c>
      <c r="AW34" s="116" t="s">
        <v>523</v>
      </c>
    </row>
    <row r="35" spans="1:51" ht="51" customHeight="1" thickBot="1">
      <c r="A35" s="185" t="s">
        <v>73</v>
      </c>
      <c r="B35" s="186" t="s">
        <v>74</v>
      </c>
      <c r="C35" s="572"/>
      <c r="D35" s="572"/>
      <c r="E35" s="572"/>
      <c r="F35" s="599"/>
      <c r="G35" s="599"/>
      <c r="H35" s="599"/>
      <c r="I35" s="596"/>
      <c r="J35" s="596"/>
      <c r="K35" s="596"/>
      <c r="L35" s="596"/>
      <c r="M35" s="596"/>
      <c r="N35" s="596"/>
      <c r="O35" s="597"/>
      <c r="Q35" s="175"/>
      <c r="R35" s="175"/>
      <c r="S35" s="175"/>
      <c r="T35" s="175"/>
      <c r="AM35" s="247"/>
      <c r="AN35" s="249"/>
      <c r="AO35" s="248" t="s">
        <v>486</v>
      </c>
      <c r="AP35" s="248" t="s">
        <v>472</v>
      </c>
      <c r="AQ35" s="248" t="s">
        <v>473</v>
      </c>
      <c r="AR35" s="247"/>
      <c r="AS35" s="248" t="str">
        <f>CONCATENATE("B",SUM(AN28,49))</f>
        <v>B111</v>
      </c>
      <c r="AT35" s="248" t="str">
        <f>CONCATENATE("A",SUM(AN28,49))</f>
        <v>A111</v>
      </c>
      <c r="AU35" s="248" t="str">
        <f>CONCATENATE("C$",SUM(AN28,47))</f>
        <v>C$109</v>
      </c>
      <c r="AW35" s="116" t="s">
        <v>523</v>
      </c>
    </row>
    <row r="36" spans="1:51" ht="37.5" customHeight="1">
      <c r="A36" s="371">
        <f>IF(B36&lt;&gt;"",$AN$23,"")</f>
        <v>0</v>
      </c>
      <c r="B36" s="327">
        <v>0.27083333333333331</v>
      </c>
      <c r="C36" s="373">
        <f>IF(AND(B36&lt;&gt;"",A36&lt;&gt;""),B36-A36,"")</f>
        <v>0.27083333333333331</v>
      </c>
      <c r="D36" s="374" t="s">
        <v>28</v>
      </c>
      <c r="E36" s="376" t="s">
        <v>336</v>
      </c>
      <c r="F36" s="600" t="s">
        <v>826</v>
      </c>
      <c r="G36" s="593">
        <v>1230</v>
      </c>
      <c r="H36" s="593">
        <v>10350</v>
      </c>
      <c r="I36" s="590" t="s">
        <v>906</v>
      </c>
      <c r="J36" s="591"/>
      <c r="K36" s="591"/>
      <c r="L36" s="591"/>
      <c r="M36" s="591"/>
      <c r="N36" s="591"/>
      <c r="O36" s="592"/>
      <c r="AM36" s="247"/>
      <c r="AN36" s="249"/>
      <c r="AO36" s="250"/>
      <c r="AP36" s="250"/>
      <c r="AQ36" s="250" t="s">
        <v>473</v>
      </c>
      <c r="AR36" s="247"/>
      <c r="AS36" s="247"/>
      <c r="AT36" s="247"/>
      <c r="AU36" s="248" t="str">
        <f>CONCATENATE("C$",SUM(AN28,47))</f>
        <v>C$109</v>
      </c>
      <c r="AW36" s="116" t="s">
        <v>523</v>
      </c>
      <c r="AX36" s="2" t="str">
        <f>CONCATENATE("_", SUBSTITUTE(SUBSTITUTE(SUBSTITUTE($E36," ","_"),"(",""),")",""))</f>
        <v>_6._Trips</v>
      </c>
    </row>
    <row r="37" spans="1:51" ht="19.5" hidden="1" customHeight="1">
      <c r="A37" s="449"/>
      <c r="B37" s="327"/>
      <c r="C37" s="452"/>
      <c r="D37" s="375"/>
      <c r="E37" s="377"/>
      <c r="F37" s="379"/>
      <c r="G37" s="381"/>
      <c r="H37" s="381"/>
      <c r="I37" s="587"/>
      <c r="J37" s="588"/>
      <c r="K37" s="588"/>
      <c r="L37" s="588"/>
      <c r="M37" s="588"/>
      <c r="N37" s="588"/>
      <c r="O37" s="589"/>
      <c r="AM37" s="247"/>
      <c r="AN37" s="249"/>
      <c r="AO37" s="248" t="s">
        <v>487</v>
      </c>
      <c r="AP37" s="248" t="s">
        <v>474</v>
      </c>
      <c r="AQ37" s="248" t="s">
        <v>475</v>
      </c>
      <c r="AR37" s="247"/>
      <c r="AS37" s="248" t="str">
        <f>CONCATENATE("B",SUM(AN28,51))</f>
        <v>B113</v>
      </c>
      <c r="AT37" s="248" t="str">
        <f>CONCATENATE("A",SUM(AN28,51))</f>
        <v>A113</v>
      </c>
      <c r="AU37" s="248" t="str">
        <f>CONCATENATE("C$",SUM(AN28,49))</f>
        <v>C$111</v>
      </c>
      <c r="AW37" s="116" t="s">
        <v>523</v>
      </c>
      <c r="AY37" s="2" t="str">
        <f>CONCATENATE("_", SUBSTITUTE(SUBSTITUTE(SUBSTITUTE($E37," ","_"),"(",""),")",""))</f>
        <v>_</v>
      </c>
    </row>
    <row r="38" spans="1:51" ht="32.25" customHeight="1">
      <c r="A38" s="370">
        <f>IF(AND(B36&lt;&gt;"",B36&lt;$AN$24),B36,"")</f>
        <v>0.27083333333333331</v>
      </c>
      <c r="B38" s="327">
        <v>0.29166666666666669</v>
      </c>
      <c r="C38" s="372">
        <f>IF(AND(B38&lt;&gt;"",A38&lt;&gt;""),B38-A38,"")</f>
        <v>2.083333333333337E-2</v>
      </c>
      <c r="D38" s="374" t="s">
        <v>28</v>
      </c>
      <c r="E38" s="376" t="s">
        <v>808</v>
      </c>
      <c r="F38" s="378" t="s">
        <v>634</v>
      </c>
      <c r="G38" s="380">
        <v>10350</v>
      </c>
      <c r="H38" s="380">
        <v>10350</v>
      </c>
      <c r="I38" s="382" t="s">
        <v>905</v>
      </c>
      <c r="J38" s="383"/>
      <c r="K38" s="383"/>
      <c r="L38" s="383"/>
      <c r="M38" s="383"/>
      <c r="N38" s="383"/>
      <c r="O38" s="384"/>
      <c r="AM38" s="247"/>
      <c r="AN38" s="249"/>
      <c r="AO38" s="247"/>
      <c r="AP38" s="247"/>
      <c r="AQ38" s="250" t="s">
        <v>475</v>
      </c>
      <c r="AR38" s="247"/>
      <c r="AS38" s="247"/>
      <c r="AT38" s="247"/>
      <c r="AU38" s="248" t="str">
        <f>CONCATENATE("C$",SUM(AN28,49))</f>
        <v>C$111</v>
      </c>
      <c r="AW38" s="116" t="s">
        <v>523</v>
      </c>
      <c r="AX38" s="2" t="str">
        <f>CONCATENATE("_", SUBSTITUTE(SUBSTITUTE(SUBSTITUTE($E38," ","_"),"(",""),")",""))</f>
        <v>_5._Condition_Mud_And_Circulate</v>
      </c>
    </row>
    <row r="39" spans="1:51" ht="138" hidden="1" customHeight="1">
      <c r="A39" s="449"/>
      <c r="B39" s="292"/>
      <c r="C39" s="452"/>
      <c r="D39" s="375"/>
      <c r="E39" s="377"/>
      <c r="F39" s="379"/>
      <c r="G39" s="381"/>
      <c r="H39" s="381"/>
      <c r="I39" s="587"/>
      <c r="J39" s="588"/>
      <c r="K39" s="588"/>
      <c r="L39" s="588"/>
      <c r="M39" s="588"/>
      <c r="N39" s="588"/>
      <c r="O39" s="589"/>
      <c r="AM39" s="247"/>
      <c r="AN39" s="249"/>
      <c r="AO39" s="248" t="s">
        <v>506</v>
      </c>
      <c r="AP39" s="248" t="s">
        <v>476</v>
      </c>
      <c r="AQ39" s="248" t="s">
        <v>477</v>
      </c>
      <c r="AR39" s="247"/>
      <c r="AS39" s="248" t="str">
        <f>CONCATENATE("B",SUM(AN28,53))</f>
        <v>B115</v>
      </c>
      <c r="AT39" s="248" t="str">
        <f>CONCATENATE("A",SUM(AN28,53))</f>
        <v>A115</v>
      </c>
      <c r="AU39" s="248" t="str">
        <f>CONCATENATE("C$",SUM(AN28,51))</f>
        <v>C$113</v>
      </c>
      <c r="AW39" s="116" t="s">
        <v>523</v>
      </c>
      <c r="AY39" s="2" t="str">
        <f>CONCATENATE("_", SUBSTITUTE(SUBSTITUTE(SUBSTITUTE($E39," ","_"),"(",""),")",""))</f>
        <v>_</v>
      </c>
    </row>
    <row r="40" spans="1:51" ht="33.75" customHeight="1">
      <c r="A40" s="370">
        <f>IF(AND(B38&lt;&gt;"",B38&lt;$AN$24),B38,"")</f>
        <v>0.29166666666666669</v>
      </c>
      <c r="B40" s="327">
        <v>0.375</v>
      </c>
      <c r="C40" s="372">
        <f>IF(AND(B40&lt;&gt;"",A40&lt;&gt;""),B40-A40,"")</f>
        <v>8.3333333333333315E-2</v>
      </c>
      <c r="D40" s="453" t="s">
        <v>28</v>
      </c>
      <c r="E40" s="376" t="s">
        <v>336</v>
      </c>
      <c r="F40" s="378" t="s">
        <v>826</v>
      </c>
      <c r="G40" s="380">
        <v>10350</v>
      </c>
      <c r="H40" s="380">
        <v>11205</v>
      </c>
      <c r="I40" s="382" t="s">
        <v>907</v>
      </c>
      <c r="J40" s="383"/>
      <c r="K40" s="383"/>
      <c r="L40" s="383"/>
      <c r="M40" s="383"/>
      <c r="N40" s="383"/>
      <c r="O40" s="384"/>
      <c r="AM40" s="247"/>
      <c r="AN40" s="249"/>
      <c r="AO40" s="250"/>
      <c r="AP40" s="247"/>
      <c r="AQ40" s="250" t="s">
        <v>477</v>
      </c>
      <c r="AR40" s="247"/>
      <c r="AS40" s="247"/>
      <c r="AT40" s="247"/>
      <c r="AU40" s="248" t="str">
        <f>CONCATENATE("C$",SUM(AN28,51))</f>
        <v>C$113</v>
      </c>
      <c r="AW40" s="116" t="s">
        <v>523</v>
      </c>
      <c r="AX40" s="2" t="str">
        <f>CONCATENATE("_", SUBSTITUTE(SUBSTITUTE(SUBSTITUTE($E40," ","_"),"(",""),")",""))</f>
        <v>_6._Trips</v>
      </c>
    </row>
    <row r="41" spans="1:51" ht="12.75" hidden="1" customHeight="1">
      <c r="A41" s="449"/>
      <c r="B41" s="292"/>
      <c r="C41" s="452"/>
      <c r="D41" s="375"/>
      <c r="E41" s="377"/>
      <c r="F41" s="379"/>
      <c r="G41" s="381"/>
      <c r="H41" s="381"/>
      <c r="I41" s="587"/>
      <c r="J41" s="588"/>
      <c r="K41" s="588"/>
      <c r="L41" s="588"/>
      <c r="M41" s="588"/>
      <c r="N41" s="588"/>
      <c r="O41" s="589"/>
      <c r="AM41" s="247"/>
      <c r="AN41" s="249"/>
      <c r="AO41" s="247" t="s">
        <v>532</v>
      </c>
      <c r="AP41" s="247" t="s">
        <v>533</v>
      </c>
      <c r="AQ41" s="247" t="s">
        <v>534</v>
      </c>
      <c r="AR41" s="247"/>
      <c r="AS41" s="247" t="str">
        <f>CONCATENATE("B",SUM(AN28,55))</f>
        <v>B117</v>
      </c>
      <c r="AT41" s="247" t="str">
        <f>CONCATENATE("A",SUM(AN28,55))</f>
        <v>A117</v>
      </c>
      <c r="AU41" s="247" t="str">
        <f>CONCATENATE("C$",SUM(AN28,53))</f>
        <v>C$115</v>
      </c>
      <c r="AW41" s="116" t="s">
        <v>523</v>
      </c>
      <c r="AY41" s="2" t="str">
        <f>CONCATENATE("_", SUBSTITUTE(SUBSTITUTE(SUBSTITUTE($E41," ","_"),"(",""),")",""))</f>
        <v>_</v>
      </c>
    </row>
    <row r="42" spans="1:51" ht="37.5" customHeight="1">
      <c r="A42" s="370">
        <f>IF(AND(B40&lt;&gt;"",B40&lt;$AN$24),B40,"")</f>
        <v>0.375</v>
      </c>
      <c r="B42" s="294">
        <v>0.45833333333333331</v>
      </c>
      <c r="C42" s="372">
        <f>IF(AND(B42&lt;&gt;"",A42&lt;&gt;""),B42-A42,"")</f>
        <v>8.3333333333333315E-2</v>
      </c>
      <c r="D42" s="374" t="s">
        <v>28</v>
      </c>
      <c r="E42" s="376" t="s">
        <v>336</v>
      </c>
      <c r="F42" s="463" t="s">
        <v>828</v>
      </c>
      <c r="G42" s="380">
        <v>11205</v>
      </c>
      <c r="H42" s="380">
        <v>10300</v>
      </c>
      <c r="I42" s="382" t="s">
        <v>908</v>
      </c>
      <c r="J42" s="383"/>
      <c r="K42" s="383"/>
      <c r="L42" s="383"/>
      <c r="M42" s="383"/>
      <c r="N42" s="383"/>
      <c r="O42" s="384"/>
      <c r="AM42" s="247"/>
      <c r="AN42" s="249"/>
      <c r="AO42" s="247"/>
      <c r="AP42" s="247"/>
      <c r="AQ42" s="247" t="s">
        <v>534</v>
      </c>
      <c r="AR42" s="247"/>
      <c r="AS42" s="247"/>
      <c r="AT42" s="247"/>
      <c r="AU42" s="247"/>
      <c r="AW42" s="116" t="s">
        <v>523</v>
      </c>
      <c r="AX42" s="2" t="str">
        <f>CONCATENATE("_", SUBSTITUTE(SUBSTITUTE(SUBSTITUTE($E42," ","_"),"(",""),")",""))</f>
        <v>_6._Trips</v>
      </c>
    </row>
    <row r="43" spans="1:51" ht="54.75" hidden="1" customHeight="1">
      <c r="A43" s="449"/>
      <c r="B43" s="294"/>
      <c r="C43" s="452"/>
      <c r="D43" s="375"/>
      <c r="E43" s="377"/>
      <c r="F43" s="379"/>
      <c r="G43" s="381"/>
      <c r="H43" s="381"/>
      <c r="I43" s="382"/>
      <c r="J43" s="383"/>
      <c r="K43" s="383"/>
      <c r="L43" s="383"/>
      <c r="M43" s="383"/>
      <c r="N43" s="383"/>
      <c r="O43" s="384"/>
      <c r="AM43" s="247"/>
      <c r="AN43" s="247"/>
      <c r="AO43" s="247" t="s">
        <v>535</v>
      </c>
      <c r="AP43" s="247" t="s">
        <v>536</v>
      </c>
      <c r="AQ43" s="247" t="s">
        <v>537</v>
      </c>
      <c r="AR43" s="247"/>
      <c r="AS43" s="247" t="str">
        <f>CONCATENATE("B",SUM(AN28,57))</f>
        <v>B119</v>
      </c>
      <c r="AT43" s="247" t="str">
        <f>CONCATENATE("A",SUM(AN28,57))</f>
        <v>A119</v>
      </c>
      <c r="AU43" s="247" t="str">
        <f>CONCATENATE("C$",SUM(AN28,55))</f>
        <v>C$117</v>
      </c>
      <c r="AW43" s="116" t="s">
        <v>523</v>
      </c>
      <c r="AY43" s="2" t="str">
        <f>CONCATENATE("_", SUBSTITUTE(SUBSTITUTE(SUBSTITUTE($E43," ","_"),"(",""),")",""))</f>
        <v>_</v>
      </c>
    </row>
    <row r="44" spans="1:51" ht="32.25" customHeight="1">
      <c r="A44" s="370">
        <f>IF(AND(B42&lt;&gt;"",B42&lt;$AN$24),B42,"")</f>
        <v>0.45833333333333331</v>
      </c>
      <c r="B44" s="294">
        <v>0.5</v>
      </c>
      <c r="C44" s="372">
        <f>IF(AND(B44&lt;&gt;"",A44&lt;&gt;""),B44-A44,"")</f>
        <v>4.1666666666666685E-2</v>
      </c>
      <c r="D44" s="374" t="s">
        <v>28</v>
      </c>
      <c r="E44" s="376" t="s">
        <v>336</v>
      </c>
      <c r="F44" s="378" t="s">
        <v>826</v>
      </c>
      <c r="G44" s="380">
        <v>10300</v>
      </c>
      <c r="H44" s="380">
        <v>11205</v>
      </c>
      <c r="I44" s="382" t="s">
        <v>909</v>
      </c>
      <c r="J44" s="383"/>
      <c r="K44" s="383"/>
      <c r="L44" s="383"/>
      <c r="M44" s="383"/>
      <c r="N44" s="383"/>
      <c r="O44" s="384"/>
      <c r="AM44" s="247"/>
      <c r="AN44" s="247"/>
      <c r="AO44" s="247"/>
      <c r="AP44" s="247"/>
      <c r="AQ44" s="247" t="s">
        <v>537</v>
      </c>
      <c r="AR44" s="247"/>
      <c r="AS44" s="337"/>
      <c r="AT44" s="247"/>
      <c r="AU44" s="247"/>
      <c r="AW44" s="116" t="s">
        <v>523</v>
      </c>
      <c r="AX44" s="2" t="str">
        <f>CONCATENATE("_", SUBSTITUTE(SUBSTITUTE(SUBSTITUTE($E44," ","_"),"(",""),")",""))</f>
        <v>_6._Trips</v>
      </c>
    </row>
    <row r="45" spans="1:51" ht="53.25" hidden="1" customHeight="1">
      <c r="A45" s="371"/>
      <c r="B45" s="294"/>
      <c r="C45" s="373"/>
      <c r="D45" s="375"/>
      <c r="E45" s="377"/>
      <c r="F45" s="379"/>
      <c r="G45" s="381"/>
      <c r="H45" s="381"/>
      <c r="I45" s="382"/>
      <c r="J45" s="383"/>
      <c r="K45" s="383"/>
      <c r="L45" s="383"/>
      <c r="M45" s="383"/>
      <c r="N45" s="383"/>
      <c r="O45" s="384"/>
      <c r="AM45" s="247"/>
      <c r="AN45" s="247"/>
      <c r="AO45" s="247" t="s">
        <v>538</v>
      </c>
      <c r="AP45" s="247" t="s">
        <v>540</v>
      </c>
      <c r="AQ45" s="247" t="s">
        <v>544</v>
      </c>
      <c r="AR45" s="247"/>
      <c r="AS45" s="247" t="str">
        <f>CONCATENATE("B",SUM(AN28,59))</f>
        <v>B121</v>
      </c>
      <c r="AT45" s="247" t="str">
        <f>CONCATENATE("A",SUM(AN28,59))</f>
        <v>A121</v>
      </c>
      <c r="AU45" s="247" t="str">
        <f>CONCATENATE("C$",SUM(AN28,57))</f>
        <v>C$119</v>
      </c>
      <c r="AW45" s="116" t="s">
        <v>523</v>
      </c>
      <c r="AY45" s="2" t="str">
        <f>CONCATENATE("_", SUBSTITUTE(SUBSTITUTE(SUBSTITUTE($E45," ","_"),"(",""),")",""))</f>
        <v>_</v>
      </c>
    </row>
    <row r="46" spans="1:51" ht="34.5" customHeight="1">
      <c r="A46" s="370">
        <f>IF(AND(B44&lt;&gt;"",B44&lt;$AN$24),B44,"")</f>
        <v>0.5</v>
      </c>
      <c r="B46" s="294">
        <v>0.52083333333333337</v>
      </c>
      <c r="C46" s="372">
        <f>IF(AND(B46&lt;&gt;"",A46&lt;&gt;""),B46-A46,"")</f>
        <v>2.083333333333337E-2</v>
      </c>
      <c r="D46" s="374" t="s">
        <v>28</v>
      </c>
      <c r="E46" s="376" t="s">
        <v>808</v>
      </c>
      <c r="F46" s="378" t="s">
        <v>634</v>
      </c>
      <c r="G46" s="380">
        <v>11205</v>
      </c>
      <c r="H46" s="380">
        <v>11205</v>
      </c>
      <c r="I46" s="382" t="s">
        <v>910</v>
      </c>
      <c r="J46" s="383"/>
      <c r="K46" s="383"/>
      <c r="L46" s="383"/>
      <c r="M46" s="383"/>
      <c r="N46" s="383"/>
      <c r="O46" s="384"/>
      <c r="AM46" s="247"/>
      <c r="AN46" s="247"/>
      <c r="AO46" s="247"/>
      <c r="AP46" s="247"/>
      <c r="AQ46" s="247"/>
      <c r="AR46" s="247"/>
      <c r="AS46" s="247"/>
      <c r="AT46" s="247"/>
      <c r="AU46" s="247"/>
      <c r="AW46" s="116"/>
      <c r="AX46" s="2" t="str">
        <f>CONCATENATE("_", SUBSTITUTE(SUBSTITUTE(SUBSTITUTE($E46," ","_"),"(",""),")",""))</f>
        <v>_5._Condition_Mud_And_Circulate</v>
      </c>
    </row>
    <row r="47" spans="1:51" ht="24" hidden="1" customHeight="1">
      <c r="A47" s="371"/>
      <c r="B47" s="294"/>
      <c r="C47" s="373"/>
      <c r="D47" s="375"/>
      <c r="E47" s="377"/>
      <c r="F47" s="379"/>
      <c r="G47" s="381"/>
      <c r="H47" s="381"/>
      <c r="I47" s="382"/>
      <c r="J47" s="383"/>
      <c r="K47" s="383"/>
      <c r="L47" s="383"/>
      <c r="M47" s="383"/>
      <c r="N47" s="383"/>
      <c r="O47" s="384"/>
      <c r="AM47" s="247"/>
      <c r="AN47" s="247"/>
      <c r="AO47" s="247"/>
      <c r="AP47" s="247"/>
      <c r="AQ47" s="247"/>
      <c r="AR47" s="247"/>
      <c r="AS47" s="247"/>
      <c r="AT47" s="247"/>
      <c r="AU47" s="247"/>
      <c r="AW47" s="116"/>
    </row>
    <row r="48" spans="1:51" ht="34.5" customHeight="1">
      <c r="A48" s="370">
        <f>IF(AND(B46&lt;&gt;"",B46&lt;$AN$24),B46,"")</f>
        <v>0.52083333333333337</v>
      </c>
      <c r="B48" s="294">
        <v>0.54166666666666663</v>
      </c>
      <c r="C48" s="372">
        <f>IF(AND(B48&lt;&gt;"",A48&lt;&gt;""),B48-A48,"")</f>
        <v>2.0833333333333259E-2</v>
      </c>
      <c r="D48" s="374" t="s">
        <v>28</v>
      </c>
      <c r="E48" s="376" t="s">
        <v>336</v>
      </c>
      <c r="F48" s="378" t="s">
        <v>827</v>
      </c>
      <c r="G48" s="380">
        <v>11205</v>
      </c>
      <c r="H48" s="380">
        <v>10909</v>
      </c>
      <c r="I48" s="382" t="s">
        <v>912</v>
      </c>
      <c r="J48" s="383"/>
      <c r="K48" s="383"/>
      <c r="L48" s="383"/>
      <c r="M48" s="383"/>
      <c r="N48" s="383"/>
      <c r="O48" s="384"/>
      <c r="AM48" s="247"/>
      <c r="AN48" s="247"/>
      <c r="AO48" s="247"/>
      <c r="AP48" s="247"/>
      <c r="AQ48" s="247"/>
      <c r="AR48" s="247"/>
      <c r="AS48" s="247"/>
      <c r="AT48" s="247"/>
      <c r="AU48" s="247"/>
      <c r="AW48" s="116"/>
      <c r="AX48" s="2" t="str">
        <f>CONCATENATE("_", SUBSTITUTE(SUBSTITUTE(SUBSTITUTE($E48," ","_"),"(",""),")",""))</f>
        <v>_6._Trips</v>
      </c>
    </row>
    <row r="49" spans="1:50" ht="24" hidden="1" customHeight="1">
      <c r="A49" s="371"/>
      <c r="B49" s="294"/>
      <c r="C49" s="373"/>
      <c r="D49" s="375"/>
      <c r="E49" s="377"/>
      <c r="F49" s="379"/>
      <c r="G49" s="381"/>
      <c r="H49" s="381"/>
      <c r="I49" s="382"/>
      <c r="J49" s="383"/>
      <c r="K49" s="383"/>
      <c r="L49" s="383"/>
      <c r="M49" s="383"/>
      <c r="N49" s="383"/>
      <c r="O49" s="384"/>
      <c r="AM49" s="247"/>
      <c r="AN49" s="247"/>
      <c r="AO49" s="247"/>
      <c r="AP49" s="247"/>
      <c r="AQ49" s="247"/>
      <c r="AR49" s="247"/>
      <c r="AS49" s="247"/>
      <c r="AT49" s="247"/>
      <c r="AU49" s="247"/>
      <c r="AW49" s="116"/>
    </row>
    <row r="50" spans="1:50" ht="37.5" customHeight="1">
      <c r="A50" s="370">
        <f>IF(AND(B48&lt;&gt;"",B48&lt;$AN$24),B48,"")</f>
        <v>0.54166666666666663</v>
      </c>
      <c r="B50" s="294">
        <v>0.625</v>
      </c>
      <c r="C50" s="372">
        <f>IF(AND(B50&lt;&gt;"",A50&lt;&gt;""),B50-A50,"")</f>
        <v>8.333333333333337E-2</v>
      </c>
      <c r="D50" s="374" t="s">
        <v>28</v>
      </c>
      <c r="E50" s="376" t="s">
        <v>808</v>
      </c>
      <c r="F50" s="378" t="s">
        <v>634</v>
      </c>
      <c r="G50" s="380">
        <v>10909</v>
      </c>
      <c r="H50" s="380">
        <v>10909</v>
      </c>
      <c r="I50" s="382" t="s">
        <v>911</v>
      </c>
      <c r="J50" s="383"/>
      <c r="K50" s="383"/>
      <c r="L50" s="383"/>
      <c r="M50" s="383"/>
      <c r="N50" s="383"/>
      <c r="O50" s="384"/>
      <c r="AM50" s="247"/>
      <c r="AN50" s="247"/>
      <c r="AO50" s="247"/>
      <c r="AP50" s="247"/>
      <c r="AQ50" s="247"/>
      <c r="AR50" s="247"/>
      <c r="AS50" s="247"/>
      <c r="AT50" s="247"/>
      <c r="AU50" s="247"/>
      <c r="AW50" s="116"/>
      <c r="AX50" s="2" t="str">
        <f>CONCATENATE("_", SUBSTITUTE(SUBSTITUTE(SUBSTITUTE($E50," ","_"),"(",""),")",""))</f>
        <v>_5._Condition_Mud_And_Circulate</v>
      </c>
    </row>
    <row r="51" spans="1:50" ht="24" hidden="1" customHeight="1">
      <c r="A51" s="371"/>
      <c r="B51" s="294"/>
      <c r="C51" s="373"/>
      <c r="D51" s="375"/>
      <c r="E51" s="377"/>
      <c r="F51" s="379"/>
      <c r="G51" s="381"/>
      <c r="H51" s="381"/>
      <c r="I51" s="382"/>
      <c r="J51" s="383"/>
      <c r="K51" s="383"/>
      <c r="L51" s="383"/>
      <c r="M51" s="383"/>
      <c r="N51" s="383"/>
      <c r="O51" s="384"/>
      <c r="AM51" s="247"/>
      <c r="AN51" s="247"/>
      <c r="AO51" s="247"/>
      <c r="AP51" s="247"/>
      <c r="AQ51" s="247"/>
      <c r="AR51" s="247"/>
      <c r="AS51" s="247"/>
      <c r="AT51" s="247"/>
      <c r="AU51" s="247"/>
      <c r="AW51" s="116"/>
    </row>
    <row r="52" spans="1:50" ht="36" customHeight="1">
      <c r="A52" s="370">
        <f>IF(AND(B50&lt;&gt;"",B50&lt;$AN$24),B50,"")</f>
        <v>0.625</v>
      </c>
      <c r="B52" s="294">
        <v>0.66666666666666663</v>
      </c>
      <c r="C52" s="372">
        <f>IF(AND(B52&lt;&gt;"",A52&lt;&gt;""),B52-A52,"")</f>
        <v>4.166666666666663E-2</v>
      </c>
      <c r="D52" s="374" t="s">
        <v>28</v>
      </c>
      <c r="E52" s="376" t="s">
        <v>809</v>
      </c>
      <c r="F52" s="378" t="s">
        <v>686</v>
      </c>
      <c r="G52" s="380">
        <v>10909</v>
      </c>
      <c r="H52" s="380">
        <v>10909</v>
      </c>
      <c r="I52" s="382" t="s">
        <v>915</v>
      </c>
      <c r="J52" s="383"/>
      <c r="K52" s="383"/>
      <c r="L52" s="383"/>
      <c r="M52" s="383"/>
      <c r="N52" s="383"/>
      <c r="O52" s="384"/>
      <c r="AM52" s="247"/>
      <c r="AN52" s="247"/>
      <c r="AO52" s="247"/>
      <c r="AP52" s="247"/>
      <c r="AQ52" s="247"/>
      <c r="AR52" s="247"/>
      <c r="AS52" s="247"/>
      <c r="AT52" s="247"/>
      <c r="AU52" s="247"/>
      <c r="AW52" s="116"/>
      <c r="AX52" s="2" t="str">
        <f>CONCATENATE("_", SUBSTITUTE(SUBSTITUTE(SUBSTITUTE($E52," ","_"),"(",""),")",""))</f>
        <v>_12._Run_Casing_And_Cement</v>
      </c>
    </row>
    <row r="53" spans="1:50" ht="22.5" hidden="1" customHeight="1">
      <c r="A53" s="371"/>
      <c r="B53" s="294"/>
      <c r="C53" s="373"/>
      <c r="D53" s="375"/>
      <c r="E53" s="377"/>
      <c r="F53" s="379"/>
      <c r="G53" s="381"/>
      <c r="H53" s="381"/>
      <c r="I53" s="382"/>
      <c r="J53" s="383"/>
      <c r="K53" s="383"/>
      <c r="L53" s="383"/>
      <c r="M53" s="383"/>
      <c r="N53" s="383"/>
      <c r="O53" s="384"/>
      <c r="AM53" s="247"/>
      <c r="AN53" s="247"/>
      <c r="AO53" s="247"/>
      <c r="AP53" s="247"/>
      <c r="AQ53" s="247"/>
      <c r="AR53" s="247"/>
      <c r="AS53" s="247"/>
      <c r="AT53" s="247"/>
      <c r="AU53" s="247"/>
      <c r="AW53" s="116"/>
    </row>
    <row r="54" spans="1:50" ht="39.75" customHeight="1">
      <c r="A54" s="370">
        <f>IF(AND(B52&lt;&gt;"",B52&lt;$AN$24),B52,"")</f>
        <v>0.66666666666666663</v>
      </c>
      <c r="B54" s="294">
        <v>0.72916666666666663</v>
      </c>
      <c r="C54" s="372">
        <f>IF(AND(B54&lt;&gt;"",A54&lt;&gt;""),B54-A54,"")</f>
        <v>6.25E-2</v>
      </c>
      <c r="D54" s="374" t="s">
        <v>28</v>
      </c>
      <c r="E54" s="376" t="s">
        <v>336</v>
      </c>
      <c r="F54" s="378" t="s">
        <v>827</v>
      </c>
      <c r="G54" s="380">
        <v>10909</v>
      </c>
      <c r="H54" s="380">
        <v>9409</v>
      </c>
      <c r="I54" s="382" t="s">
        <v>913</v>
      </c>
      <c r="J54" s="383"/>
      <c r="K54" s="383"/>
      <c r="L54" s="383"/>
      <c r="M54" s="383"/>
      <c r="N54" s="383"/>
      <c r="O54" s="384"/>
      <c r="AM54" s="247"/>
      <c r="AN54" s="247"/>
      <c r="AO54" s="247"/>
      <c r="AP54" s="247"/>
      <c r="AQ54" s="247"/>
      <c r="AR54" s="247"/>
      <c r="AS54" s="247"/>
      <c r="AT54" s="247"/>
      <c r="AU54" s="247"/>
      <c r="AW54" s="116"/>
      <c r="AX54" s="2" t="str">
        <f>CONCATENATE("_", SUBSTITUTE(SUBSTITUTE(SUBSTITUTE($E54," ","_"),"(",""),")",""))</f>
        <v>_6._Trips</v>
      </c>
    </row>
    <row r="55" spans="1:50" ht="24" hidden="1" customHeight="1" thickBot="1">
      <c r="A55" s="371"/>
      <c r="B55" s="294"/>
      <c r="C55" s="373"/>
      <c r="D55" s="375"/>
      <c r="E55" s="377"/>
      <c r="F55" s="379"/>
      <c r="G55" s="381"/>
      <c r="H55" s="381"/>
      <c r="I55" s="382"/>
      <c r="J55" s="383"/>
      <c r="K55" s="383"/>
      <c r="L55" s="383"/>
      <c r="M55" s="383"/>
      <c r="N55" s="383"/>
      <c r="O55" s="384"/>
      <c r="AM55" s="247"/>
      <c r="AN55" s="247"/>
      <c r="AO55" s="247"/>
      <c r="AP55" s="247"/>
      <c r="AQ55" s="247"/>
      <c r="AR55" s="247"/>
      <c r="AS55" s="247"/>
      <c r="AT55" s="247"/>
      <c r="AU55" s="247"/>
      <c r="AW55" s="116"/>
    </row>
    <row r="56" spans="1:50" ht="36.75" customHeight="1">
      <c r="A56" s="370">
        <f>IF(AND(B54&lt;&gt;"",B54&lt;$AN$24),B54,"")</f>
        <v>0.72916666666666663</v>
      </c>
      <c r="B56" s="294">
        <v>0.83333333333333337</v>
      </c>
      <c r="C56" s="372">
        <f>IF(AND(B56&lt;&gt;"",A56&lt;&gt;""),B56-A56,"")</f>
        <v>0.10416666666666674</v>
      </c>
      <c r="D56" s="374" t="s">
        <v>28</v>
      </c>
      <c r="E56" s="376" t="s">
        <v>808</v>
      </c>
      <c r="F56" s="378" t="s">
        <v>634</v>
      </c>
      <c r="G56" s="380">
        <v>9409</v>
      </c>
      <c r="H56" s="380">
        <v>9409</v>
      </c>
      <c r="I56" s="382" t="s">
        <v>914</v>
      </c>
      <c r="J56" s="383"/>
      <c r="K56" s="383"/>
      <c r="L56" s="383"/>
      <c r="M56" s="383"/>
      <c r="N56" s="383"/>
      <c r="O56" s="384"/>
      <c r="AM56" s="247"/>
      <c r="AN56" s="247"/>
      <c r="AO56" s="247"/>
      <c r="AP56" s="247"/>
      <c r="AQ56" s="247"/>
      <c r="AR56" s="247"/>
      <c r="AS56" s="247"/>
      <c r="AT56" s="247"/>
      <c r="AU56" s="247"/>
      <c r="AW56" s="116"/>
      <c r="AX56" s="2" t="str">
        <f>CONCATENATE("_", SUBSTITUTE(SUBSTITUTE(SUBSTITUTE($E56," ","_"),"(",""),")",""))</f>
        <v>_5._Condition_Mud_And_Circulate</v>
      </c>
    </row>
    <row r="57" spans="1:50" ht="24" hidden="1" customHeight="1">
      <c r="A57" s="371"/>
      <c r="B57" s="294"/>
      <c r="C57" s="373"/>
      <c r="D57" s="375"/>
      <c r="E57" s="377"/>
      <c r="F57" s="379"/>
      <c r="G57" s="381"/>
      <c r="H57" s="381"/>
      <c r="I57" s="382"/>
      <c r="J57" s="383"/>
      <c r="K57" s="383"/>
      <c r="L57" s="383"/>
      <c r="M57" s="383"/>
      <c r="N57" s="383"/>
      <c r="O57" s="384"/>
      <c r="AM57" s="247"/>
      <c r="AN57" s="247"/>
      <c r="AO57" s="247"/>
      <c r="AP57" s="247"/>
      <c r="AQ57" s="247"/>
      <c r="AR57" s="247"/>
      <c r="AS57" s="247"/>
      <c r="AT57" s="247"/>
      <c r="AU57" s="247"/>
      <c r="AW57" s="116"/>
    </row>
    <row r="58" spans="1:50" ht="43.5" customHeight="1">
      <c r="A58" s="370">
        <f>IF(AND(B56&lt;&gt;"",B56&lt;$AN$24),B56,"")</f>
        <v>0.83333333333333337</v>
      </c>
      <c r="B58" s="294"/>
      <c r="C58" s="372" t="str">
        <f>IF(AND(B58&lt;&gt;"",A58&lt;&gt;""),B58-A58,"")</f>
        <v/>
      </c>
      <c r="D58" s="374"/>
      <c r="E58" s="376"/>
      <c r="F58" s="378"/>
      <c r="G58" s="380"/>
      <c r="H58" s="380"/>
      <c r="I58" s="382"/>
      <c r="J58" s="383"/>
      <c r="K58" s="383"/>
      <c r="L58" s="383"/>
      <c r="M58" s="383"/>
      <c r="N58" s="383"/>
      <c r="O58" s="384"/>
      <c r="AM58" s="247"/>
      <c r="AN58" s="247"/>
      <c r="AO58" s="247"/>
      <c r="AP58" s="247"/>
      <c r="AQ58" s="247"/>
      <c r="AR58" s="247"/>
      <c r="AS58" s="247"/>
      <c r="AT58" s="247"/>
      <c r="AU58" s="247"/>
      <c r="AW58" s="116"/>
      <c r="AX58" s="2" t="str">
        <f>CONCATENATE("_", SUBSTITUTE(SUBSTITUTE(SUBSTITUTE($E58," ","_"),"(",""),")",""))</f>
        <v>_</v>
      </c>
    </row>
    <row r="59" spans="1:50" ht="1.5" hidden="1" customHeight="1">
      <c r="A59" s="371"/>
      <c r="B59" s="294"/>
      <c r="C59" s="373"/>
      <c r="D59" s="375"/>
      <c r="E59" s="377"/>
      <c r="F59" s="379"/>
      <c r="G59" s="381"/>
      <c r="H59" s="381"/>
      <c r="I59" s="382"/>
      <c r="J59" s="383"/>
      <c r="K59" s="383"/>
      <c r="L59" s="383"/>
      <c r="M59" s="383"/>
      <c r="N59" s="383"/>
      <c r="O59" s="384"/>
      <c r="AM59" s="247"/>
      <c r="AN59" s="247"/>
      <c r="AO59" s="247"/>
      <c r="AP59" s="247"/>
      <c r="AQ59" s="247"/>
      <c r="AR59" s="247"/>
      <c r="AS59" s="247"/>
      <c r="AT59" s="247"/>
      <c r="AU59" s="247"/>
      <c r="AW59" s="116"/>
    </row>
    <row r="60" spans="1:50" ht="38.25" customHeight="1">
      <c r="A60" s="370" t="str">
        <f>IF(AND(B58&lt;&gt;"",B58&lt;$AN$24),B58,"")</f>
        <v/>
      </c>
      <c r="B60" s="294"/>
      <c r="C60" s="372" t="str">
        <f>IF(AND(B60&lt;&gt;"",A60&lt;&gt;""),B60-A60,"")</f>
        <v/>
      </c>
      <c r="D60" s="374"/>
      <c r="E60" s="376"/>
      <c r="F60" s="378"/>
      <c r="G60" s="380"/>
      <c r="H60" s="380"/>
      <c r="I60" s="382"/>
      <c r="J60" s="383"/>
      <c r="K60" s="383"/>
      <c r="L60" s="383"/>
      <c r="M60" s="383"/>
      <c r="N60" s="383"/>
      <c r="O60" s="384"/>
      <c r="AM60" s="247"/>
      <c r="AN60" s="247"/>
      <c r="AO60" s="247"/>
      <c r="AP60" s="247"/>
      <c r="AQ60" s="247"/>
      <c r="AR60" s="247"/>
      <c r="AS60" s="247"/>
      <c r="AT60" s="247"/>
      <c r="AU60" s="247"/>
      <c r="AW60" s="116"/>
      <c r="AX60" s="2" t="str">
        <f>CONCATENATE("_", SUBSTITUTE(SUBSTITUTE(SUBSTITUTE($E60," ","_"),"(",""),")",""))</f>
        <v>_</v>
      </c>
    </row>
    <row r="61" spans="1:50" ht="24" hidden="1" customHeight="1">
      <c r="A61" s="371"/>
      <c r="B61" s="294"/>
      <c r="C61" s="373"/>
      <c r="D61" s="375"/>
      <c r="E61" s="377"/>
      <c r="F61" s="379"/>
      <c r="G61" s="381"/>
      <c r="H61" s="381"/>
      <c r="I61" s="382"/>
      <c r="J61" s="383"/>
      <c r="K61" s="383"/>
      <c r="L61" s="383"/>
      <c r="M61" s="383"/>
      <c r="N61" s="383"/>
      <c r="O61" s="384"/>
      <c r="AM61" s="247"/>
      <c r="AN61" s="247"/>
      <c r="AO61" s="247"/>
      <c r="AP61" s="247"/>
      <c r="AQ61" s="247"/>
      <c r="AR61" s="247"/>
      <c r="AS61" s="247"/>
      <c r="AT61" s="247"/>
      <c r="AU61" s="247"/>
      <c r="AW61" s="116"/>
    </row>
    <row r="62" spans="1:50" ht="45.75" customHeight="1" thickBot="1">
      <c r="A62" s="370" t="str">
        <f>IF(AND(B60&lt;&gt;"",B60&lt;$AN$24),B60,"")</f>
        <v/>
      </c>
      <c r="B62" s="294"/>
      <c r="C62" s="372" t="str">
        <f>IF(AND(B62&lt;&gt;"",A62&lt;&gt;""),B62-A62,"")</f>
        <v/>
      </c>
      <c r="D62" s="374"/>
      <c r="E62" s="376"/>
      <c r="F62" s="378"/>
      <c r="G62" s="380"/>
      <c r="H62" s="380"/>
      <c r="I62" s="382"/>
      <c r="J62" s="383"/>
      <c r="K62" s="383"/>
      <c r="L62" s="383"/>
      <c r="M62" s="383"/>
      <c r="N62" s="383"/>
      <c r="O62" s="384"/>
      <c r="AM62" s="247"/>
      <c r="AN62" s="247"/>
      <c r="AO62" s="247"/>
      <c r="AP62" s="247"/>
      <c r="AQ62" s="247"/>
      <c r="AR62" s="247"/>
      <c r="AS62" s="247"/>
      <c r="AT62" s="247"/>
      <c r="AU62" s="247"/>
      <c r="AW62" s="116"/>
      <c r="AX62" s="2" t="str">
        <f>CONCATENATE("_", SUBSTITUTE(SUBSTITUTE(SUBSTITUTE($E62," ","_"),"(",""),")",""))</f>
        <v>_</v>
      </c>
    </row>
    <row r="63" spans="1:50" ht="24" hidden="1" customHeight="1" thickBot="1">
      <c r="A63" s="371"/>
      <c r="B63" s="294"/>
      <c r="C63" s="373"/>
      <c r="D63" s="375"/>
      <c r="E63" s="377"/>
      <c r="F63" s="379"/>
      <c r="G63" s="381"/>
      <c r="H63" s="381"/>
      <c r="I63" s="382"/>
      <c r="J63" s="383"/>
      <c r="K63" s="383"/>
      <c r="L63" s="383"/>
      <c r="M63" s="383"/>
      <c r="N63" s="383"/>
      <c r="O63" s="384"/>
      <c r="AM63" s="247"/>
      <c r="AN63" s="247"/>
      <c r="AO63" s="247"/>
      <c r="AP63" s="247"/>
      <c r="AQ63" s="247"/>
      <c r="AR63" s="247"/>
      <c r="AS63" s="247"/>
      <c r="AT63" s="247"/>
      <c r="AU63" s="247"/>
      <c r="AW63" s="116"/>
    </row>
    <row r="64" spans="1:50" ht="13.5" hidden="1" customHeight="1">
      <c r="A64" s="609" t="s">
        <v>329</v>
      </c>
      <c r="B64" s="609"/>
      <c r="C64" s="609"/>
      <c r="D64" s="609"/>
      <c r="E64" s="609"/>
      <c r="F64" s="609"/>
      <c r="G64" s="609"/>
      <c r="H64" s="609"/>
      <c r="I64" s="609"/>
      <c r="J64" s="609"/>
      <c r="K64" s="609"/>
      <c r="L64" s="609"/>
      <c r="M64" s="609"/>
      <c r="N64" s="609"/>
      <c r="O64" s="610"/>
      <c r="AM64" s="247"/>
      <c r="AN64" s="247"/>
      <c r="AO64" s="247"/>
      <c r="AP64" s="247"/>
      <c r="AQ64" s="247"/>
      <c r="AR64" s="247"/>
      <c r="AS64" s="247"/>
      <c r="AT64" s="247"/>
      <c r="AU64" s="247"/>
      <c r="AW64" s="116"/>
      <c r="AX64" s="2" t="e">
        <f>CONCATENATE("_", SUBSTITUTE(SUBSTITUTE(SUBSTITUTE(#REF!," ","_"),"(",""),")",""))</f>
        <v>#REF!</v>
      </c>
    </row>
    <row r="65" spans="1:50" ht="13.5" hidden="1" customHeight="1">
      <c r="A65" s="612" t="s">
        <v>25</v>
      </c>
      <c r="B65" s="613"/>
      <c r="C65" s="611" t="s">
        <v>26</v>
      </c>
      <c r="D65" s="611" t="s">
        <v>442</v>
      </c>
      <c r="E65" s="611" t="s">
        <v>443</v>
      </c>
      <c r="F65" s="616" t="s">
        <v>604</v>
      </c>
      <c r="G65" s="620" t="str">
        <f>IF($AN$3=1,CONCATENATE("START DEPTH 
[",'UOM Configuration'!B5,"]"),CONCATENATE("START DEPTH 
[",'UOM Configuration'!C5,"]"))</f>
        <v>START DEPTH 
[ft]</v>
      </c>
      <c r="H65" s="617" t="str">
        <f>IF($AN$3=1,CONCATENATE("END DEPTH 
[",'UOM Configuration'!B6,"]"),CONCATENATE("END DEPTH 
[",'UOM Configuration'!C6,"]"))</f>
        <v>END DEPTH 
[ft]</v>
      </c>
      <c r="I65" s="616" t="s">
        <v>27</v>
      </c>
      <c r="J65" s="617" t="s">
        <v>27</v>
      </c>
      <c r="K65" s="617" t="s">
        <v>27</v>
      </c>
      <c r="L65" s="617" t="s">
        <v>27</v>
      </c>
      <c r="M65" s="617" t="s">
        <v>27</v>
      </c>
      <c r="N65" s="617" t="s">
        <v>27</v>
      </c>
      <c r="O65" s="618" t="s">
        <v>27</v>
      </c>
      <c r="AM65" s="247"/>
      <c r="AN65" s="247"/>
      <c r="AO65" s="247"/>
      <c r="AP65" s="247"/>
      <c r="AQ65" s="247"/>
      <c r="AR65" s="247"/>
      <c r="AS65" s="247"/>
      <c r="AT65" s="247"/>
      <c r="AU65" s="247"/>
      <c r="AW65" s="116"/>
    </row>
    <row r="66" spans="1:50" ht="24.6" hidden="1" customHeight="1" thickBot="1">
      <c r="A66" s="185" t="s">
        <v>73</v>
      </c>
      <c r="B66" s="186" t="s">
        <v>74</v>
      </c>
      <c r="C66" s="572"/>
      <c r="D66" s="572"/>
      <c r="E66" s="572"/>
      <c r="F66" s="619"/>
      <c r="G66" s="599"/>
      <c r="H66" s="596"/>
      <c r="I66" s="619" t="s">
        <v>27</v>
      </c>
      <c r="J66" s="596" t="s">
        <v>27</v>
      </c>
      <c r="K66" s="596" t="s">
        <v>27</v>
      </c>
      <c r="L66" s="596" t="s">
        <v>27</v>
      </c>
      <c r="M66" s="596" t="s">
        <v>27</v>
      </c>
      <c r="N66" s="596" t="s">
        <v>27</v>
      </c>
      <c r="O66" s="597" t="s">
        <v>27</v>
      </c>
      <c r="AM66" s="247"/>
      <c r="AN66" s="247"/>
      <c r="AO66" s="247"/>
      <c r="AP66" s="247"/>
      <c r="AQ66" s="247"/>
      <c r="AR66" s="247"/>
      <c r="AS66" s="247"/>
      <c r="AT66" s="247"/>
      <c r="AU66" s="247"/>
      <c r="AW66" s="116"/>
      <c r="AX66" s="2" t="e">
        <f>CONCATENATE("_", SUBSTITUTE(SUBSTITUTE(SUBSTITUTE(#REF!," ","_"),"(",""),")",""))</f>
        <v>#REF!</v>
      </c>
    </row>
    <row r="67" spans="1:50" ht="24.6" hidden="1" customHeight="1">
      <c r="A67" s="371" t="str">
        <f>IF(B67&lt;&gt;"",$AN$22,"")</f>
        <v/>
      </c>
      <c r="B67" s="614"/>
      <c r="C67" s="373" t="str">
        <f>IF(AND(B67&lt;&gt;"",A67&lt;&gt;""),B67-A67,"")</f>
        <v/>
      </c>
      <c r="D67" s="374"/>
      <c r="E67" s="377"/>
      <c r="F67" s="600"/>
      <c r="G67" s="593"/>
      <c r="H67" s="593"/>
      <c r="I67" s="605"/>
      <c r="J67" s="605"/>
      <c r="K67" s="605"/>
      <c r="L67" s="605"/>
      <c r="M67" s="605"/>
      <c r="N67" s="605"/>
      <c r="O67" s="606"/>
      <c r="AM67" s="247"/>
      <c r="AN67" s="247"/>
      <c r="AO67" s="247"/>
      <c r="AP67" s="247"/>
      <c r="AQ67" s="247"/>
      <c r="AR67" s="247"/>
      <c r="AS67" s="247"/>
      <c r="AT67" s="247"/>
      <c r="AU67" s="247"/>
      <c r="AW67" s="116"/>
    </row>
    <row r="68" spans="1:50" ht="24.6" hidden="1" customHeight="1">
      <c r="A68" s="449"/>
      <c r="B68" s="615"/>
      <c r="C68" s="452"/>
      <c r="D68" s="375"/>
      <c r="E68" s="456"/>
      <c r="F68" s="379"/>
      <c r="G68" s="381"/>
      <c r="H68" s="381"/>
      <c r="I68" s="607"/>
      <c r="J68" s="607"/>
      <c r="K68" s="607"/>
      <c r="L68" s="607"/>
      <c r="M68" s="607"/>
      <c r="N68" s="607"/>
      <c r="O68" s="608"/>
      <c r="AM68" s="247"/>
      <c r="AN68" s="247"/>
      <c r="AO68" s="247"/>
      <c r="AP68" s="247"/>
      <c r="AQ68" s="247"/>
      <c r="AR68" s="247"/>
      <c r="AS68" s="247"/>
      <c r="AT68" s="247"/>
      <c r="AU68" s="247"/>
      <c r="AW68" s="116"/>
      <c r="AX68" s="2" t="e">
        <f>CONCATENATE("_", SUBSTITUTE(SUBSTITUTE(SUBSTITUTE(#REF!," ","_"),"(",""),")",""))</f>
        <v>#REF!</v>
      </c>
    </row>
    <row r="69" spans="1:50" ht="24.6" hidden="1" customHeight="1">
      <c r="A69" s="370" t="str">
        <f>IF(AND(B67&lt;&gt;"",B67&lt;$AN$24),B67,"")</f>
        <v/>
      </c>
      <c r="B69" s="450"/>
      <c r="C69" s="372" t="str">
        <f>IF(AND(B69&lt;&gt;"",A69&lt;&gt;""),B69-A69,"")</f>
        <v/>
      </c>
      <c r="D69" s="453"/>
      <c r="E69" s="376"/>
      <c r="F69" s="601"/>
      <c r="G69" s="603"/>
      <c r="H69" s="603"/>
      <c r="I69" s="607"/>
      <c r="J69" s="607"/>
      <c r="K69" s="607"/>
      <c r="L69" s="607"/>
      <c r="M69" s="607"/>
      <c r="N69" s="607"/>
      <c r="O69" s="608"/>
      <c r="AM69" s="247"/>
      <c r="AN69" s="247"/>
      <c r="AO69" s="247"/>
      <c r="AP69" s="247"/>
      <c r="AQ69" s="247"/>
      <c r="AR69" s="247"/>
      <c r="AS69" s="247"/>
      <c r="AT69" s="247"/>
      <c r="AU69" s="247"/>
      <c r="AW69" s="116"/>
    </row>
    <row r="70" spans="1:50" ht="24.6" hidden="1" customHeight="1">
      <c r="A70" s="449"/>
      <c r="B70" s="451"/>
      <c r="C70" s="452"/>
      <c r="D70" s="375"/>
      <c r="E70" s="456"/>
      <c r="F70" s="602"/>
      <c r="G70" s="604"/>
      <c r="H70" s="604"/>
      <c r="I70" s="459"/>
      <c r="J70" s="459"/>
      <c r="K70" s="459"/>
      <c r="L70" s="459"/>
      <c r="M70" s="459"/>
      <c r="N70" s="459"/>
      <c r="O70" s="460"/>
      <c r="AM70" s="247"/>
      <c r="AN70" s="247"/>
      <c r="AO70" s="247"/>
      <c r="AP70" s="247"/>
      <c r="AQ70" s="247"/>
      <c r="AR70" s="247"/>
      <c r="AS70" s="247"/>
      <c r="AT70" s="247"/>
      <c r="AU70" s="247"/>
      <c r="AW70" s="116"/>
      <c r="AX70" s="2" t="e">
        <f>CONCATENATE("_", SUBSTITUTE(SUBSTITUTE(SUBSTITUTE(#REF!," ","_"),"(",""),")",""))</f>
        <v>#REF!</v>
      </c>
    </row>
    <row r="71" spans="1:50" ht="24.6" hidden="1" customHeight="1">
      <c r="A71" s="370" t="str">
        <f>IF(AND(B69&lt;&gt;"",B69&lt;$AN$24),B69,"")</f>
        <v/>
      </c>
      <c r="B71" s="450"/>
      <c r="C71" s="372" t="str">
        <f>IF(AND(B71&lt;&gt;"",A71&lt;&gt;""),B71-A71,"")</f>
        <v/>
      </c>
      <c r="D71" s="453"/>
      <c r="E71" s="376"/>
      <c r="F71" s="378"/>
      <c r="G71" s="380"/>
      <c r="H71" s="380"/>
      <c r="I71" s="459"/>
      <c r="J71" s="459"/>
      <c r="K71" s="459"/>
      <c r="L71" s="459"/>
      <c r="M71" s="459"/>
      <c r="N71" s="459"/>
      <c r="O71" s="460"/>
      <c r="AM71" s="247"/>
      <c r="AN71" s="247"/>
      <c r="AO71" s="247"/>
      <c r="AP71" s="247"/>
      <c r="AQ71" s="247"/>
      <c r="AR71" s="247"/>
      <c r="AS71" s="247"/>
      <c r="AT71" s="247"/>
      <c r="AU71" s="247"/>
      <c r="AW71" s="116"/>
    </row>
    <row r="72" spans="1:50" ht="24.6" hidden="1" customHeight="1">
      <c r="A72" s="449"/>
      <c r="B72" s="451"/>
      <c r="C72" s="452"/>
      <c r="D72" s="375"/>
      <c r="E72" s="456"/>
      <c r="F72" s="379"/>
      <c r="G72" s="381"/>
      <c r="H72" s="381"/>
      <c r="I72" s="459"/>
      <c r="J72" s="459"/>
      <c r="K72" s="459"/>
      <c r="L72" s="459"/>
      <c r="M72" s="459"/>
      <c r="N72" s="459"/>
      <c r="O72" s="460"/>
      <c r="AM72" s="247"/>
      <c r="AN72" s="247"/>
      <c r="AO72" s="247"/>
      <c r="AP72" s="247"/>
      <c r="AQ72" s="247"/>
      <c r="AR72" s="247"/>
      <c r="AS72" s="247"/>
      <c r="AT72" s="247"/>
      <c r="AU72" s="247"/>
      <c r="AW72" s="116"/>
      <c r="AX72" s="2" t="e">
        <f>CONCATENATE("_", SUBSTITUTE(SUBSTITUTE(SUBSTITUTE(#REF!," ","_"),"(",""),")",""))</f>
        <v>#REF!</v>
      </c>
    </row>
    <row r="73" spans="1:50" ht="24.6" hidden="1" customHeight="1">
      <c r="A73" s="370" t="str">
        <f>IF(AND(B71&lt;&gt;"",B71&lt;$AN$24),B71,"")</f>
        <v/>
      </c>
      <c r="B73" s="450"/>
      <c r="C73" s="372" t="str">
        <f>IF(AND(B73&lt;&gt;"",A73&lt;&gt;""),B73-A73,"")</f>
        <v/>
      </c>
      <c r="D73" s="453"/>
      <c r="E73" s="457"/>
      <c r="F73" s="378"/>
      <c r="G73" s="380"/>
      <c r="H73" s="380"/>
      <c r="I73" s="459"/>
      <c r="J73" s="459"/>
      <c r="K73" s="459"/>
      <c r="L73" s="459"/>
      <c r="M73" s="459"/>
      <c r="N73" s="459"/>
      <c r="O73" s="460"/>
      <c r="AM73" s="247"/>
      <c r="AN73" s="247"/>
      <c r="AO73" s="247"/>
      <c r="AP73" s="247"/>
      <c r="AQ73" s="247"/>
      <c r="AR73" s="247"/>
      <c r="AS73" s="247"/>
      <c r="AT73" s="247"/>
      <c r="AU73" s="247"/>
      <c r="AW73" s="116"/>
    </row>
    <row r="74" spans="1:50" ht="24.6" hidden="1" customHeight="1">
      <c r="A74" s="449"/>
      <c r="B74" s="451"/>
      <c r="C74" s="452"/>
      <c r="D74" s="375"/>
      <c r="E74" s="458"/>
      <c r="F74" s="379"/>
      <c r="G74" s="381"/>
      <c r="H74" s="381"/>
      <c r="I74" s="459"/>
      <c r="J74" s="459"/>
      <c r="K74" s="459"/>
      <c r="L74" s="459"/>
      <c r="M74" s="459"/>
      <c r="N74" s="459"/>
      <c r="O74" s="460"/>
      <c r="AM74" s="247"/>
      <c r="AN74" s="247"/>
      <c r="AO74" s="247"/>
      <c r="AP74" s="247"/>
      <c r="AQ74" s="247"/>
      <c r="AR74" s="247"/>
      <c r="AS74" s="247"/>
      <c r="AT74" s="247"/>
      <c r="AU74" s="247"/>
      <c r="AW74" s="116"/>
      <c r="AX74" s="2" t="e">
        <f>CONCATENATE("_", SUBSTITUTE(SUBSTITUTE(SUBSTITUTE(#REF!," ","_"),"(",""),")",""))</f>
        <v>#REF!</v>
      </c>
    </row>
    <row r="75" spans="1:50" ht="24.6" hidden="1" customHeight="1">
      <c r="A75" s="370" t="str">
        <f>IF(AND(B73&lt;&gt;"",B73&lt;$AN$24),B73,"")</f>
        <v/>
      </c>
      <c r="B75" s="450"/>
      <c r="C75" s="372" t="str">
        <f>IF(AND(B73&lt;&gt;"",A73&lt;&gt;""),B73-A73,"")</f>
        <v/>
      </c>
      <c r="D75" s="453"/>
      <c r="E75" s="454"/>
      <c r="F75" s="378"/>
      <c r="G75" s="380"/>
      <c r="H75" s="380"/>
      <c r="I75" s="459"/>
      <c r="J75" s="459"/>
      <c r="K75" s="459"/>
      <c r="L75" s="459"/>
      <c r="M75" s="459"/>
      <c r="N75" s="459"/>
      <c r="O75" s="460"/>
      <c r="AM75" s="247"/>
      <c r="AN75" s="247"/>
      <c r="AO75" s="247"/>
      <c r="AP75" s="247"/>
      <c r="AQ75" s="247"/>
      <c r="AR75" s="247"/>
      <c r="AS75" s="247"/>
      <c r="AT75" s="247"/>
      <c r="AU75" s="247"/>
      <c r="AW75" s="116"/>
    </row>
    <row r="76" spans="1:50" ht="24.6" hidden="1" customHeight="1" thickBot="1">
      <c r="A76" s="449"/>
      <c r="B76" s="451"/>
      <c r="C76" s="452"/>
      <c r="D76" s="375"/>
      <c r="E76" s="455"/>
      <c r="F76" s="463"/>
      <c r="G76" s="464"/>
      <c r="H76" s="464"/>
      <c r="I76" s="461"/>
      <c r="J76" s="461"/>
      <c r="K76" s="461"/>
      <c r="L76" s="461"/>
      <c r="M76" s="461"/>
      <c r="N76" s="461"/>
      <c r="O76" s="462"/>
      <c r="AM76" s="247"/>
      <c r="AN76" s="247"/>
      <c r="AO76" s="247"/>
      <c r="AP76" s="247"/>
      <c r="AQ76" s="247"/>
      <c r="AR76" s="247"/>
      <c r="AS76" s="247"/>
      <c r="AT76" s="247"/>
      <c r="AU76" s="247"/>
      <c r="AW76" s="116"/>
      <c r="AX76" s="2" t="e">
        <f>CONCATENATE("_", SUBSTITUTE(SUBSTITUTE(SUBSTITUTE(#REF!," ","_"),"(",""),")",""))</f>
        <v>#REF!</v>
      </c>
    </row>
    <row r="77" spans="1:50" ht="27" customHeight="1" thickBot="1">
      <c r="A77" s="447" t="s">
        <v>522</v>
      </c>
      <c r="B77" s="448"/>
      <c r="C77" s="187" t="s">
        <v>28</v>
      </c>
      <c r="D77" s="188">
        <v>1</v>
      </c>
      <c r="E77" s="339" t="s">
        <v>41</v>
      </c>
      <c r="F77" s="188"/>
      <c r="G77" s="190" t="s">
        <v>29</v>
      </c>
      <c r="H77" s="188"/>
      <c r="I77" s="189" t="s">
        <v>30</v>
      </c>
      <c r="J77" s="188"/>
      <c r="K77" s="189" t="s">
        <v>40</v>
      </c>
      <c r="L77" s="191">
        <v>0</v>
      </c>
      <c r="M77" s="405" t="s">
        <v>444</v>
      </c>
      <c r="N77" s="407"/>
      <c r="O77" s="236">
        <f>IF(AND(M79="",N79="",O79="",M81="",N81="",O81=""),"",SUM(M79:O79,M81:O81))</f>
        <v>81</v>
      </c>
      <c r="AM77" s="247"/>
      <c r="AN77" s="247"/>
      <c r="AO77" s="247"/>
      <c r="AP77" s="247"/>
      <c r="AQ77" s="247"/>
      <c r="AR77" s="247"/>
      <c r="AS77" s="247"/>
      <c r="AT77" s="247"/>
      <c r="AU77" s="247"/>
      <c r="AW77" s="116"/>
    </row>
    <row r="78" spans="1:50" ht="13.5" customHeight="1" thickBot="1">
      <c r="A78" s="405" t="s">
        <v>79</v>
      </c>
      <c r="B78" s="406"/>
      <c r="C78" s="406"/>
      <c r="D78" s="406"/>
      <c r="E78" s="406"/>
      <c r="F78" s="407"/>
      <c r="G78" s="405" t="s">
        <v>34</v>
      </c>
      <c r="H78" s="406"/>
      <c r="I78" s="406"/>
      <c r="J78" s="406"/>
      <c r="K78" s="406"/>
      <c r="L78" s="407"/>
      <c r="M78" s="234" t="s">
        <v>43</v>
      </c>
      <c r="N78" s="235" t="s">
        <v>44</v>
      </c>
      <c r="O78" s="233" t="s">
        <v>45</v>
      </c>
      <c r="AM78" s="247"/>
      <c r="AN78" s="247"/>
      <c r="AO78" s="247"/>
      <c r="AP78" s="247"/>
      <c r="AQ78" s="247"/>
      <c r="AR78" s="247"/>
      <c r="AS78" s="247"/>
      <c r="AT78" s="247"/>
      <c r="AU78" s="247"/>
      <c r="AW78" s="116"/>
    </row>
    <row r="79" spans="1:50" ht="13.5" customHeight="1">
      <c r="A79" s="435" t="s">
        <v>80</v>
      </c>
      <c r="B79" s="436"/>
      <c r="C79" s="436"/>
      <c r="D79" s="437"/>
      <c r="E79" s="438">
        <v>0</v>
      </c>
      <c r="F79" s="439"/>
      <c r="G79" s="440" t="s">
        <v>903</v>
      </c>
      <c r="H79" s="441"/>
      <c r="I79" s="441"/>
      <c r="J79" s="441"/>
      <c r="K79" s="441"/>
      <c r="L79" s="442"/>
      <c r="M79" s="192">
        <v>4</v>
      </c>
      <c r="N79" s="193">
        <v>55</v>
      </c>
      <c r="O79" s="194">
        <v>5</v>
      </c>
      <c r="AM79" s="247"/>
      <c r="AN79" s="247"/>
      <c r="AO79" s="247"/>
      <c r="AP79" s="247"/>
      <c r="AQ79" s="247"/>
      <c r="AR79" s="247"/>
      <c r="AS79" s="247"/>
      <c r="AT79" s="247"/>
      <c r="AU79" s="247"/>
      <c r="AW79" s="116"/>
    </row>
    <row r="80" spans="1:50" ht="13.5" customHeight="1">
      <c r="A80" s="410" t="s">
        <v>42</v>
      </c>
      <c r="B80" s="411"/>
      <c r="C80" s="411"/>
      <c r="D80" s="412"/>
      <c r="E80" s="443">
        <v>43031</v>
      </c>
      <c r="F80" s="444"/>
      <c r="G80" s="415"/>
      <c r="H80" s="416"/>
      <c r="I80" s="416"/>
      <c r="J80" s="416"/>
      <c r="K80" s="416"/>
      <c r="L80" s="417"/>
      <c r="M80" s="206" t="s">
        <v>46</v>
      </c>
      <c r="N80" s="207" t="s">
        <v>48</v>
      </c>
      <c r="O80" s="208" t="s">
        <v>47</v>
      </c>
      <c r="AM80" s="247"/>
      <c r="AN80" s="247"/>
      <c r="AO80" s="247"/>
      <c r="AP80" s="247"/>
      <c r="AQ80" s="247"/>
      <c r="AR80" s="247"/>
      <c r="AS80" s="247"/>
      <c r="AT80" s="247"/>
      <c r="AU80" s="247"/>
      <c r="AW80" s="116"/>
    </row>
    <row r="81" spans="1:49" ht="13.5" customHeight="1" thickBot="1">
      <c r="A81" s="410" t="s">
        <v>81</v>
      </c>
      <c r="B81" s="411"/>
      <c r="C81" s="411"/>
      <c r="D81" s="412"/>
      <c r="E81" s="445">
        <f>IF(AND(E80&lt;&gt;"",F7&lt;&gt;""),F7-E80,"")</f>
        <v>70</v>
      </c>
      <c r="F81" s="446"/>
      <c r="G81" s="415"/>
      <c r="H81" s="416"/>
      <c r="I81" s="416"/>
      <c r="J81" s="416"/>
      <c r="K81" s="416"/>
      <c r="L81" s="417"/>
      <c r="M81" s="195">
        <v>0</v>
      </c>
      <c r="N81" s="196">
        <v>3</v>
      </c>
      <c r="O81" s="197">
        <v>14</v>
      </c>
      <c r="AM81" s="247"/>
      <c r="AN81" s="247"/>
      <c r="AO81" s="247"/>
      <c r="AP81" s="247"/>
      <c r="AQ81" s="247"/>
      <c r="AR81" s="247"/>
      <c r="AS81" s="247"/>
      <c r="AT81" s="247"/>
      <c r="AU81" s="247"/>
      <c r="AW81" s="116"/>
    </row>
    <row r="82" spans="1:49" ht="13.5" customHeight="1">
      <c r="A82" s="410" t="s">
        <v>39</v>
      </c>
      <c r="B82" s="411"/>
      <c r="C82" s="411"/>
      <c r="D82" s="412"/>
      <c r="E82" s="413">
        <v>1</v>
      </c>
      <c r="F82" s="414"/>
      <c r="G82" s="415"/>
      <c r="H82" s="416"/>
      <c r="I82" s="416"/>
      <c r="J82" s="416"/>
      <c r="K82" s="416"/>
      <c r="L82" s="417"/>
      <c r="M82" s="430" t="s">
        <v>82</v>
      </c>
      <c r="N82" s="431"/>
      <c r="O82" s="432"/>
      <c r="AM82" s="247"/>
      <c r="AN82" s="247"/>
      <c r="AO82" s="247"/>
      <c r="AP82" s="247"/>
      <c r="AQ82" s="247"/>
      <c r="AR82" s="247"/>
      <c r="AS82" s="247"/>
      <c r="AT82" s="247"/>
      <c r="AU82" s="247"/>
      <c r="AW82" s="116"/>
    </row>
    <row r="83" spans="1:49" ht="13.5" customHeight="1" thickBot="1">
      <c r="A83" s="410" t="s">
        <v>33</v>
      </c>
      <c r="B83" s="411"/>
      <c r="C83" s="411"/>
      <c r="D83" s="412"/>
      <c r="E83" s="413">
        <v>1</v>
      </c>
      <c r="F83" s="414"/>
      <c r="G83" s="415" t="s">
        <v>902</v>
      </c>
      <c r="H83" s="416"/>
      <c r="I83" s="416"/>
      <c r="J83" s="416"/>
      <c r="K83" s="416"/>
      <c r="L83" s="417"/>
      <c r="M83" s="427"/>
      <c r="N83" s="428"/>
      <c r="O83" s="429"/>
      <c r="AM83" s="247"/>
      <c r="AN83" s="247"/>
      <c r="AO83" s="247"/>
      <c r="AP83" s="247"/>
      <c r="AQ83" s="247"/>
      <c r="AR83" s="247"/>
      <c r="AS83" s="247"/>
      <c r="AT83" s="247"/>
      <c r="AU83" s="247"/>
      <c r="AW83" s="116"/>
    </row>
    <row r="84" spans="1:49" ht="13.5" customHeight="1">
      <c r="A84" s="410" t="s">
        <v>31</v>
      </c>
      <c r="B84" s="411"/>
      <c r="C84" s="411"/>
      <c r="D84" s="412"/>
      <c r="E84" s="413">
        <v>876</v>
      </c>
      <c r="F84" s="414"/>
      <c r="G84" s="415"/>
      <c r="H84" s="416"/>
      <c r="I84" s="416"/>
      <c r="J84" s="416"/>
      <c r="K84" s="416"/>
      <c r="L84" s="417"/>
      <c r="M84" s="385"/>
      <c r="N84" s="386"/>
      <c r="O84" s="387"/>
      <c r="AM84" s="247"/>
      <c r="AN84" s="247"/>
      <c r="AO84" s="247"/>
      <c r="AP84" s="247"/>
      <c r="AQ84" s="247"/>
      <c r="AR84" s="247"/>
      <c r="AS84" s="247"/>
      <c r="AT84" s="247"/>
      <c r="AU84" s="247"/>
      <c r="AW84" s="116"/>
    </row>
    <row r="85" spans="1:49" ht="13.5" customHeight="1">
      <c r="A85" s="418" t="s">
        <v>32</v>
      </c>
      <c r="B85" s="419"/>
      <c r="C85" s="419"/>
      <c r="D85" s="420"/>
      <c r="E85" s="413">
        <f>0+E84</f>
        <v>876</v>
      </c>
      <c r="F85" s="414"/>
      <c r="G85" s="415"/>
      <c r="H85" s="416"/>
      <c r="I85" s="416"/>
      <c r="J85" s="416"/>
      <c r="K85" s="416"/>
      <c r="L85" s="417"/>
      <c r="M85" s="385"/>
      <c r="N85" s="386"/>
      <c r="O85" s="387"/>
      <c r="AM85" s="247"/>
      <c r="AN85" s="247"/>
      <c r="AO85" s="247"/>
      <c r="AP85" s="247"/>
      <c r="AQ85" s="247"/>
      <c r="AR85" s="247"/>
      <c r="AS85" s="247"/>
      <c r="AT85" s="247"/>
      <c r="AU85" s="247"/>
      <c r="AW85" s="116"/>
    </row>
    <row r="86" spans="1:49" ht="13.5" customHeight="1" thickBot="1">
      <c r="A86" s="421" t="s">
        <v>369</v>
      </c>
      <c r="B86" s="422"/>
      <c r="C86" s="422"/>
      <c r="D86" s="423"/>
      <c r="E86" s="433">
        <v>12</v>
      </c>
      <c r="F86" s="434"/>
      <c r="G86" s="415"/>
      <c r="H86" s="416"/>
      <c r="I86" s="416"/>
      <c r="J86" s="416"/>
      <c r="K86" s="416"/>
      <c r="L86" s="417"/>
      <c r="M86" s="388"/>
      <c r="N86" s="389"/>
      <c r="O86" s="390"/>
      <c r="AM86" s="247"/>
      <c r="AN86" s="247"/>
      <c r="AO86" s="247"/>
      <c r="AP86" s="247"/>
      <c r="AQ86" s="247"/>
      <c r="AR86" s="247"/>
      <c r="AS86" s="247"/>
      <c r="AT86" s="247"/>
      <c r="AU86" s="247"/>
      <c r="AW86" s="116"/>
    </row>
    <row r="87" spans="1:49" ht="24" customHeight="1" thickBot="1">
      <c r="A87" s="405" t="s">
        <v>95</v>
      </c>
      <c r="B87" s="406"/>
      <c r="C87" s="406"/>
      <c r="D87" s="407"/>
      <c r="E87" s="408" t="s">
        <v>92</v>
      </c>
      <c r="F87" s="409"/>
      <c r="G87" s="405" t="s">
        <v>410</v>
      </c>
      <c r="H87" s="406"/>
      <c r="I87" s="406"/>
      <c r="J87" s="406"/>
      <c r="K87" s="407"/>
      <c r="L87" s="198"/>
      <c r="M87" s="424" t="s">
        <v>84</v>
      </c>
      <c r="N87" s="425"/>
      <c r="O87" s="426"/>
      <c r="AM87" s="247"/>
      <c r="AN87" s="247"/>
      <c r="AO87" s="247"/>
      <c r="AP87" s="247"/>
      <c r="AQ87" s="247"/>
      <c r="AR87" s="247"/>
      <c r="AS87" s="247"/>
      <c r="AT87" s="247"/>
      <c r="AU87" s="247"/>
      <c r="AW87" s="116"/>
    </row>
    <row r="88" spans="1:49" ht="24" customHeight="1" thickBot="1">
      <c r="A88" s="391" t="s">
        <v>83</v>
      </c>
      <c r="B88" s="392"/>
      <c r="C88" s="392"/>
      <c r="D88" s="392"/>
      <c r="E88" s="392"/>
      <c r="F88" s="393"/>
      <c r="G88" s="127"/>
      <c r="H88" s="199" t="s">
        <v>403</v>
      </c>
      <c r="I88" s="199" t="s">
        <v>405</v>
      </c>
      <c r="J88" s="199" t="s">
        <v>406</v>
      </c>
      <c r="K88" s="199" t="s">
        <v>407</v>
      </c>
      <c r="L88" s="128" t="s">
        <v>408</v>
      </c>
      <c r="M88" s="427"/>
      <c r="N88" s="428"/>
      <c r="O88" s="429"/>
      <c r="AM88" s="247"/>
      <c r="AN88" s="247"/>
      <c r="AO88" s="247"/>
      <c r="AP88" s="247"/>
      <c r="AQ88" s="247"/>
      <c r="AR88" s="247"/>
      <c r="AS88" s="247"/>
      <c r="AT88" s="247"/>
      <c r="AU88" s="247"/>
      <c r="AW88" s="116"/>
    </row>
    <row r="89" spans="1:49" ht="13.5" customHeight="1" thickBot="1">
      <c r="A89" s="394"/>
      <c r="B89" s="395"/>
      <c r="C89" s="395"/>
      <c r="D89" s="395"/>
      <c r="E89" s="395"/>
      <c r="F89" s="396"/>
      <c r="G89" s="200" t="s">
        <v>411</v>
      </c>
      <c r="H89" s="201" t="s">
        <v>399</v>
      </c>
      <c r="I89" s="202">
        <v>4</v>
      </c>
      <c r="J89" s="203">
        <v>20</v>
      </c>
      <c r="K89" s="204">
        <v>52</v>
      </c>
      <c r="L89" s="205"/>
      <c r="M89" s="385" t="s">
        <v>866</v>
      </c>
      <c r="N89" s="386"/>
      <c r="O89" s="387"/>
      <c r="AM89" s="247"/>
      <c r="AN89" s="247"/>
      <c r="AO89" s="247"/>
      <c r="AP89" s="247"/>
      <c r="AQ89" s="247"/>
      <c r="AR89" s="247"/>
      <c r="AS89" s="247"/>
      <c r="AT89" s="247"/>
      <c r="AU89" s="247"/>
      <c r="AW89" s="116"/>
    </row>
    <row r="90" spans="1:49" ht="24" customHeight="1">
      <c r="A90" s="397" t="str">
        <f>IF($AN$3=1,"CONSUMED [m3]","CONSUMED [bbls]")</f>
        <v>CONSUMED [bbls]</v>
      </c>
      <c r="B90" s="398"/>
      <c r="C90" s="239" t="str">
        <f>IF($AN$3=1,"STOCK 
[m3]","STOCK 
[bbls]")</f>
        <v>STOCK 
[bbls]</v>
      </c>
      <c r="D90" s="240" t="str">
        <f>IF($AN$3=1,"ARRIVAL 
[m3]","ARRIVAL 
[bbls]")</f>
        <v>ARRIVAL 
[bbls]</v>
      </c>
      <c r="E90" s="399" t="str">
        <f>IF($AN$3=1,"NEXT ARRIVAL [m3]","NEXT ARRIVAL [bbls]")</f>
        <v>NEXT ARRIVAL [bbls]</v>
      </c>
      <c r="F90" s="400"/>
      <c r="G90" s="206"/>
      <c r="H90" s="207" t="s">
        <v>404</v>
      </c>
      <c r="I90" s="207" t="s">
        <v>405</v>
      </c>
      <c r="J90" s="207" t="s">
        <v>409</v>
      </c>
      <c r="K90" s="207" t="s">
        <v>407</v>
      </c>
      <c r="L90" s="208" t="s">
        <v>408</v>
      </c>
      <c r="M90" s="385"/>
      <c r="N90" s="386"/>
      <c r="O90" s="387"/>
      <c r="AM90" s="247"/>
      <c r="AN90" s="247"/>
      <c r="AO90" s="247"/>
      <c r="AP90" s="247"/>
      <c r="AQ90" s="247"/>
      <c r="AR90" s="247"/>
      <c r="AS90" s="247"/>
      <c r="AT90" s="247"/>
      <c r="AU90" s="247"/>
      <c r="AW90" s="116"/>
    </row>
    <row r="91" spans="1:49" ht="13.5" customHeight="1" thickBot="1">
      <c r="A91" s="401">
        <f>1856/42</f>
        <v>44.19047619047619</v>
      </c>
      <c r="B91" s="402"/>
      <c r="C91" s="325">
        <f>19067/42</f>
        <v>453.97619047619048</v>
      </c>
      <c r="D91" s="209"/>
      <c r="E91" s="403"/>
      <c r="F91" s="404"/>
      <c r="G91" s="210" t="s">
        <v>412</v>
      </c>
      <c r="H91" s="211" t="s">
        <v>401</v>
      </c>
      <c r="I91" s="212">
        <v>72</v>
      </c>
      <c r="J91" s="213">
        <v>44</v>
      </c>
      <c r="K91" s="214">
        <v>6</v>
      </c>
      <c r="L91" s="215"/>
      <c r="M91" s="388"/>
      <c r="N91" s="389"/>
      <c r="O91" s="390"/>
      <c r="AM91" s="247"/>
      <c r="AN91" s="247"/>
      <c r="AO91" s="247"/>
      <c r="AP91" s="247"/>
      <c r="AQ91" s="247"/>
      <c r="AR91" s="247"/>
      <c r="AS91" s="247"/>
      <c r="AT91" s="247"/>
      <c r="AU91" s="247"/>
      <c r="AW91" s="116"/>
    </row>
    <row r="92" spans="1:49" ht="24" customHeight="1">
      <c r="A92" s="216"/>
      <c r="B92" s="217"/>
      <c r="C92" s="217"/>
      <c r="D92" s="217"/>
      <c r="E92" s="217"/>
      <c r="F92" s="217"/>
      <c r="G92" s="217"/>
      <c r="H92" s="218"/>
      <c r="I92" s="218"/>
      <c r="J92" s="219"/>
      <c r="K92" s="219"/>
      <c r="L92" s="219"/>
      <c r="M92" s="219"/>
      <c r="N92" s="219"/>
      <c r="O92" s="219"/>
      <c r="AM92" s="247"/>
      <c r="AN92" s="247"/>
      <c r="AO92" s="247"/>
      <c r="AP92" s="247"/>
      <c r="AQ92" s="247"/>
      <c r="AR92" s="247"/>
      <c r="AS92" s="247"/>
      <c r="AT92" s="247"/>
      <c r="AU92" s="247"/>
      <c r="AW92" s="116"/>
    </row>
    <row r="93" spans="1:49" ht="13.5" customHeight="1">
      <c r="AM93" s="247"/>
      <c r="AN93" s="247"/>
      <c r="AO93" s="247"/>
      <c r="AP93" s="247"/>
      <c r="AQ93" s="247"/>
      <c r="AR93" s="247"/>
      <c r="AS93" s="247"/>
      <c r="AT93" s="247"/>
      <c r="AU93" s="247"/>
      <c r="AW93" s="116"/>
    </row>
    <row r="94" spans="1:49" ht="24" customHeight="1">
      <c r="AM94" s="247"/>
      <c r="AN94" s="247"/>
      <c r="AO94" s="247"/>
      <c r="AP94" s="247"/>
      <c r="AQ94" s="247"/>
      <c r="AR94" s="247"/>
      <c r="AS94" s="247"/>
      <c r="AT94" s="247"/>
      <c r="AU94" s="247"/>
      <c r="AW94" s="116"/>
    </row>
    <row r="95" spans="1:49" ht="13.5" customHeight="1">
      <c r="AM95" s="247"/>
      <c r="AN95" s="247"/>
      <c r="AO95" s="247"/>
      <c r="AP95" s="247"/>
      <c r="AQ95" s="247"/>
      <c r="AR95" s="247"/>
      <c r="AS95" s="247"/>
      <c r="AT95" s="247"/>
      <c r="AU95" s="247"/>
      <c r="AW95" s="116"/>
    </row>
    <row r="96" spans="1:49" ht="24" customHeight="1">
      <c r="AM96" s="247"/>
      <c r="AN96" s="247"/>
      <c r="AO96" s="247"/>
      <c r="AP96" s="247"/>
      <c r="AQ96" s="247"/>
      <c r="AR96" s="247"/>
      <c r="AS96" s="247"/>
      <c r="AT96" s="247"/>
      <c r="AU96" s="247"/>
      <c r="AW96" s="116"/>
    </row>
    <row r="97" spans="15:49" ht="13.5" customHeight="1">
      <c r="AM97" s="247"/>
      <c r="AN97" s="247"/>
      <c r="AO97" s="247"/>
      <c r="AP97" s="247"/>
      <c r="AQ97" s="247"/>
      <c r="AR97" s="247"/>
      <c r="AS97" s="247"/>
      <c r="AT97" s="247"/>
      <c r="AU97" s="247"/>
      <c r="AW97" s="116"/>
    </row>
    <row r="98" spans="15:49" ht="24" customHeight="1">
      <c r="AM98" s="247"/>
      <c r="AN98" s="247"/>
      <c r="AO98" s="247"/>
      <c r="AP98" s="247"/>
      <c r="AQ98" s="247"/>
      <c r="AR98" s="247"/>
      <c r="AS98" s="247"/>
      <c r="AT98" s="247"/>
      <c r="AU98" s="247"/>
      <c r="AW98" s="116"/>
    </row>
    <row r="99" spans="15:49" ht="13.5" customHeight="1">
      <c r="AM99" s="247"/>
      <c r="AN99" s="247"/>
      <c r="AO99" s="247"/>
      <c r="AP99" s="247"/>
      <c r="AQ99" s="247"/>
      <c r="AR99" s="247"/>
      <c r="AS99" s="247"/>
      <c r="AT99" s="247"/>
      <c r="AU99" s="247"/>
      <c r="AW99" s="116"/>
    </row>
    <row r="100" spans="15:49" ht="24" customHeight="1">
      <c r="AM100" s="247"/>
      <c r="AN100" s="247"/>
      <c r="AO100" s="247"/>
      <c r="AP100" s="247"/>
      <c r="AQ100" s="247"/>
      <c r="AR100" s="247"/>
      <c r="AS100" s="247"/>
      <c r="AT100" s="247"/>
      <c r="AU100" s="247"/>
      <c r="AW100" s="116"/>
    </row>
    <row r="101" spans="15:49" ht="13.5" customHeight="1">
      <c r="AM101" s="247"/>
      <c r="AN101" s="247"/>
      <c r="AO101" s="247"/>
      <c r="AP101" s="247"/>
      <c r="AQ101" s="247"/>
      <c r="AR101" s="247"/>
      <c r="AS101" s="247"/>
      <c r="AT101" s="247"/>
      <c r="AU101" s="247"/>
      <c r="AW101" s="116"/>
    </row>
    <row r="102" spans="15:49" ht="24" customHeight="1">
      <c r="AM102" s="247"/>
      <c r="AN102" s="247"/>
      <c r="AO102" s="247"/>
      <c r="AP102" s="247"/>
      <c r="AQ102" s="247"/>
      <c r="AR102" s="247"/>
      <c r="AS102" s="247"/>
      <c r="AT102" s="247"/>
      <c r="AU102" s="247"/>
      <c r="AW102" s="116"/>
    </row>
    <row r="103" spans="15:49" ht="13.5" customHeight="1">
      <c r="AM103" s="247"/>
      <c r="AN103" s="247"/>
      <c r="AO103" s="247"/>
      <c r="AP103" s="247"/>
      <c r="AQ103" s="247"/>
      <c r="AR103" s="247"/>
      <c r="AS103" s="247"/>
      <c r="AT103" s="247"/>
      <c r="AU103" s="247"/>
      <c r="AW103" s="116"/>
    </row>
    <row r="104" spans="15:49" ht="24" customHeight="1">
      <c r="AM104" s="247"/>
      <c r="AN104" s="247"/>
      <c r="AO104" s="247"/>
      <c r="AP104" s="247"/>
      <c r="AQ104" s="247"/>
      <c r="AR104" s="247"/>
      <c r="AS104" s="247"/>
      <c r="AT104" s="247"/>
      <c r="AU104" s="247"/>
      <c r="AW104" s="116"/>
    </row>
    <row r="105" spans="15:49" ht="13.5" customHeight="1">
      <c r="AM105" s="247"/>
      <c r="AN105" s="247"/>
      <c r="AO105" s="247"/>
      <c r="AP105" s="247"/>
      <c r="AQ105" s="247"/>
      <c r="AR105" s="247"/>
      <c r="AS105" s="247"/>
      <c r="AT105" s="247"/>
      <c r="AU105" s="247"/>
      <c r="AW105" s="116"/>
    </row>
    <row r="106" spans="15:49" ht="24" customHeight="1">
      <c r="AM106" s="247"/>
      <c r="AN106" s="247"/>
      <c r="AO106" s="247"/>
      <c r="AP106" s="247"/>
      <c r="AQ106" s="247"/>
      <c r="AR106" s="247"/>
      <c r="AS106" s="247"/>
      <c r="AT106" s="247"/>
      <c r="AU106" s="247"/>
      <c r="AW106" s="116"/>
    </row>
    <row r="107" spans="15:49" ht="13.5" customHeight="1">
      <c r="AM107" s="247"/>
      <c r="AN107" s="247"/>
      <c r="AO107" s="247"/>
      <c r="AP107" s="247"/>
      <c r="AQ107" s="247"/>
      <c r="AR107" s="247"/>
      <c r="AS107" s="247"/>
      <c r="AT107" s="247"/>
      <c r="AU107" s="247"/>
      <c r="AW107" s="116"/>
    </row>
    <row r="108" spans="15:49" ht="24" customHeight="1">
      <c r="AM108" s="247"/>
      <c r="AN108" s="247"/>
      <c r="AO108" s="247"/>
      <c r="AP108" s="247"/>
      <c r="AQ108" s="247"/>
      <c r="AR108" s="247"/>
      <c r="AS108" s="247"/>
      <c r="AT108" s="247"/>
      <c r="AU108" s="247"/>
      <c r="AW108" s="116"/>
    </row>
    <row r="109" spans="15:49" ht="13.5" customHeight="1">
      <c r="AM109" s="247"/>
      <c r="AN109" s="247"/>
      <c r="AO109" s="247"/>
      <c r="AP109" s="247"/>
      <c r="AQ109" s="247"/>
      <c r="AR109" s="247"/>
      <c r="AS109" s="247"/>
      <c r="AT109" s="247"/>
      <c r="AU109" s="247"/>
      <c r="AW109" s="116"/>
    </row>
    <row r="110" spans="15:49" ht="24" customHeight="1">
      <c r="AM110" s="247"/>
      <c r="AN110" s="247"/>
      <c r="AO110" s="247"/>
      <c r="AP110" s="247"/>
      <c r="AQ110" s="247"/>
      <c r="AR110" s="247"/>
      <c r="AS110" s="247"/>
      <c r="AT110" s="247"/>
      <c r="AU110" s="247"/>
      <c r="AW110" s="116"/>
    </row>
    <row r="111" spans="15:49" ht="13.5" customHeight="1">
      <c r="AM111" s="247"/>
      <c r="AN111" s="247"/>
      <c r="AO111" s="247"/>
      <c r="AP111" s="247"/>
      <c r="AQ111" s="247"/>
      <c r="AR111" s="247"/>
      <c r="AS111" s="247"/>
      <c r="AT111" s="247"/>
      <c r="AU111" s="247"/>
      <c r="AW111" s="116"/>
    </row>
    <row r="112" spans="15:49" ht="24" customHeight="1">
      <c r="O112" s="220"/>
      <c r="AM112" s="247"/>
      <c r="AN112" s="247"/>
      <c r="AO112" s="247"/>
      <c r="AP112" s="247"/>
      <c r="AQ112" s="247"/>
      <c r="AR112" s="247"/>
      <c r="AS112" s="247"/>
      <c r="AT112" s="247"/>
      <c r="AU112" s="247"/>
      <c r="AW112" s="116"/>
    </row>
    <row r="113" spans="39:49" ht="13.5" customHeight="1">
      <c r="AM113" s="247"/>
      <c r="AN113" s="247"/>
      <c r="AO113" s="247"/>
      <c r="AP113" s="247"/>
      <c r="AQ113" s="247"/>
      <c r="AR113" s="247"/>
      <c r="AS113" s="247"/>
      <c r="AT113" s="247"/>
      <c r="AU113" s="247"/>
      <c r="AW113" s="116"/>
    </row>
    <row r="114" spans="39:49" ht="24" customHeight="1">
      <c r="AM114" s="247"/>
      <c r="AN114" s="247"/>
      <c r="AO114" s="247"/>
      <c r="AP114" s="247"/>
      <c r="AQ114" s="247"/>
      <c r="AR114" s="247"/>
      <c r="AS114" s="247"/>
      <c r="AT114" s="247"/>
      <c r="AU114" s="247"/>
      <c r="AW114" s="116"/>
    </row>
    <row r="115" spans="39:49" ht="13.5" customHeight="1">
      <c r="AM115" s="247"/>
      <c r="AN115" s="247"/>
      <c r="AO115" s="247"/>
      <c r="AP115" s="247"/>
      <c r="AQ115" s="247"/>
      <c r="AR115" s="247"/>
      <c r="AS115" s="247"/>
      <c r="AT115" s="247"/>
      <c r="AU115" s="247"/>
      <c r="AW115" s="116"/>
    </row>
    <row r="116" spans="39:49" ht="24" customHeight="1">
      <c r="AM116" s="247"/>
      <c r="AN116" s="247"/>
      <c r="AO116" s="247"/>
      <c r="AP116" s="247"/>
      <c r="AQ116" s="247"/>
      <c r="AR116" s="247"/>
      <c r="AS116" s="247"/>
      <c r="AT116" s="247"/>
      <c r="AU116" s="247"/>
      <c r="AW116" s="116"/>
    </row>
    <row r="117" spans="39:49" ht="13.5" customHeight="1">
      <c r="AM117" s="247"/>
      <c r="AN117" s="247"/>
      <c r="AO117" s="247"/>
      <c r="AP117" s="247"/>
      <c r="AQ117" s="247"/>
      <c r="AR117" s="247"/>
      <c r="AS117" s="247"/>
      <c r="AT117" s="247"/>
      <c r="AU117" s="247"/>
      <c r="AW117" s="116"/>
    </row>
    <row r="118" spans="39:49" ht="24" customHeight="1">
      <c r="AM118" s="247"/>
      <c r="AN118" s="247"/>
      <c r="AO118" s="247"/>
      <c r="AP118" s="247"/>
      <c r="AQ118" s="247"/>
      <c r="AR118" s="247"/>
      <c r="AS118" s="247"/>
      <c r="AT118" s="247"/>
      <c r="AU118" s="247"/>
      <c r="AW118" s="116"/>
    </row>
    <row r="119" spans="39:49" ht="13.5" customHeight="1">
      <c r="AM119" s="247"/>
      <c r="AN119" s="247"/>
      <c r="AO119" s="247"/>
      <c r="AP119" s="247"/>
      <c r="AQ119" s="247"/>
      <c r="AR119" s="247"/>
      <c r="AS119" s="247"/>
      <c r="AT119" s="247"/>
      <c r="AU119" s="247"/>
      <c r="AW119" s="116"/>
    </row>
    <row r="120" spans="39:49" ht="24" customHeight="1">
      <c r="AM120" s="247"/>
      <c r="AN120" s="247"/>
      <c r="AO120" s="247"/>
      <c r="AP120" s="247"/>
      <c r="AQ120" s="247"/>
      <c r="AR120" s="247"/>
      <c r="AS120" s="247"/>
      <c r="AT120" s="247"/>
      <c r="AU120" s="247"/>
      <c r="AW120" s="116"/>
    </row>
    <row r="121" spans="39:49" ht="13.5" customHeight="1">
      <c r="AM121" s="247"/>
      <c r="AN121" s="247"/>
      <c r="AO121" s="247"/>
      <c r="AP121" s="247"/>
      <c r="AQ121" s="247"/>
      <c r="AR121" s="247"/>
      <c r="AS121" s="247"/>
      <c r="AT121" s="247"/>
      <c r="AU121" s="247"/>
      <c r="AW121" s="116"/>
    </row>
    <row r="122" spans="39:49" ht="24" customHeight="1">
      <c r="AM122" s="247"/>
      <c r="AN122" s="247"/>
      <c r="AO122" s="247"/>
      <c r="AP122" s="247"/>
      <c r="AQ122" s="247"/>
      <c r="AR122" s="247"/>
      <c r="AS122" s="247"/>
      <c r="AT122" s="247"/>
      <c r="AU122" s="247"/>
      <c r="AW122" s="116"/>
    </row>
    <row r="123" spans="39:49" ht="13.5" customHeight="1">
      <c r="AM123" s="247"/>
      <c r="AN123" s="247"/>
      <c r="AO123" s="247"/>
      <c r="AP123" s="247"/>
      <c r="AQ123" s="247"/>
      <c r="AR123" s="247"/>
      <c r="AS123" s="247"/>
      <c r="AT123" s="247"/>
      <c r="AU123" s="247"/>
      <c r="AW123" s="116"/>
    </row>
    <row r="124" spans="39:49" ht="24" customHeight="1">
      <c r="AM124" s="247"/>
      <c r="AN124" s="247"/>
      <c r="AO124" s="247"/>
      <c r="AP124" s="247"/>
      <c r="AQ124" s="247"/>
      <c r="AR124" s="247"/>
      <c r="AS124" s="247"/>
      <c r="AT124" s="247"/>
      <c r="AU124" s="247"/>
      <c r="AW124" s="116"/>
    </row>
    <row r="125" spans="39:49" ht="13.5" customHeight="1">
      <c r="AM125" s="247"/>
      <c r="AN125" s="247"/>
      <c r="AO125" s="247"/>
      <c r="AP125" s="247"/>
      <c r="AQ125" s="247"/>
      <c r="AR125" s="247"/>
      <c r="AS125" s="247"/>
      <c r="AT125" s="247"/>
      <c r="AU125" s="247"/>
      <c r="AW125" s="116"/>
    </row>
    <row r="126" spans="39:49" ht="24" customHeight="1">
      <c r="AM126" s="247"/>
      <c r="AN126" s="247"/>
      <c r="AO126" s="247"/>
      <c r="AP126" s="247"/>
      <c r="AQ126" s="247"/>
      <c r="AR126" s="247"/>
      <c r="AS126" s="247"/>
      <c r="AT126" s="247"/>
      <c r="AU126" s="247"/>
      <c r="AW126" s="116"/>
    </row>
    <row r="127" spans="39:49" ht="13.5" customHeight="1">
      <c r="AM127" s="247"/>
      <c r="AN127" s="247"/>
      <c r="AO127" s="247"/>
      <c r="AP127" s="247"/>
      <c r="AQ127" s="247"/>
      <c r="AR127" s="247"/>
      <c r="AS127" s="247"/>
      <c r="AT127" s="247"/>
      <c r="AU127" s="247"/>
      <c r="AW127" s="116"/>
    </row>
    <row r="128" spans="39:49" ht="24" customHeight="1">
      <c r="AM128" s="247"/>
      <c r="AN128" s="247"/>
      <c r="AO128" s="247"/>
      <c r="AP128" s="247"/>
      <c r="AQ128" s="247"/>
      <c r="AR128" s="247"/>
      <c r="AS128" s="247"/>
      <c r="AT128" s="247"/>
      <c r="AU128" s="247"/>
      <c r="AW128" s="116"/>
    </row>
    <row r="129" spans="39:49" ht="13.5" customHeight="1">
      <c r="AM129" s="247"/>
      <c r="AN129" s="247"/>
      <c r="AO129" s="247"/>
      <c r="AP129" s="247"/>
      <c r="AQ129" s="247"/>
      <c r="AR129" s="247"/>
      <c r="AS129" s="247"/>
      <c r="AT129" s="247"/>
      <c r="AU129" s="247"/>
      <c r="AW129" s="116"/>
    </row>
    <row r="130" spans="39:49" ht="24" customHeight="1">
      <c r="AM130" s="247"/>
      <c r="AN130" s="247"/>
      <c r="AO130" s="247"/>
      <c r="AP130" s="247"/>
      <c r="AQ130" s="247"/>
      <c r="AR130" s="247"/>
      <c r="AS130" s="247"/>
      <c r="AT130" s="247"/>
      <c r="AU130" s="247"/>
      <c r="AW130" s="116"/>
    </row>
    <row r="131" spans="39:49" ht="13.5" customHeight="1">
      <c r="AM131" s="247"/>
      <c r="AN131" s="247"/>
      <c r="AO131" s="247"/>
      <c r="AP131" s="247"/>
      <c r="AQ131" s="247"/>
      <c r="AR131" s="247"/>
      <c r="AS131" s="247"/>
      <c r="AT131" s="247"/>
      <c r="AU131" s="247"/>
      <c r="AW131" s="116"/>
    </row>
    <row r="132" spans="39:49" ht="24" customHeight="1">
      <c r="AM132" s="247"/>
      <c r="AN132" s="247"/>
      <c r="AO132" s="247"/>
      <c r="AP132" s="247"/>
      <c r="AQ132" s="247"/>
      <c r="AR132" s="247"/>
      <c r="AS132" s="247"/>
      <c r="AT132" s="247"/>
      <c r="AU132" s="247"/>
      <c r="AW132" s="116"/>
    </row>
    <row r="133" spans="39:49" ht="13.5" customHeight="1">
      <c r="AM133" s="247"/>
      <c r="AN133" s="247"/>
      <c r="AO133" s="247"/>
      <c r="AP133" s="247"/>
      <c r="AQ133" s="247"/>
      <c r="AR133" s="247"/>
      <c r="AS133" s="247"/>
      <c r="AT133" s="247"/>
      <c r="AU133" s="247"/>
      <c r="AW133" s="116"/>
    </row>
    <row r="134" spans="39:49" ht="24" customHeight="1">
      <c r="AM134" s="247"/>
      <c r="AN134" s="247"/>
      <c r="AO134" s="247"/>
      <c r="AP134" s="247"/>
      <c r="AQ134" s="247"/>
      <c r="AR134" s="247"/>
      <c r="AS134" s="247"/>
      <c r="AT134" s="247"/>
      <c r="AU134" s="247"/>
      <c r="AW134" s="116"/>
    </row>
    <row r="135" spans="39:49" ht="13.5" customHeight="1">
      <c r="AM135" s="247"/>
      <c r="AN135" s="247"/>
      <c r="AO135" s="247"/>
      <c r="AP135" s="247"/>
      <c r="AQ135" s="247"/>
      <c r="AR135" s="247"/>
      <c r="AS135" s="247"/>
      <c r="AT135" s="247"/>
      <c r="AU135" s="247"/>
      <c r="AW135" s="116"/>
    </row>
    <row r="136" spans="39:49" ht="24" customHeight="1">
      <c r="AM136" s="247"/>
      <c r="AN136" s="247"/>
      <c r="AO136" s="247"/>
      <c r="AP136" s="247"/>
      <c r="AQ136" s="247"/>
      <c r="AR136" s="247"/>
      <c r="AS136" s="247"/>
      <c r="AT136" s="247"/>
      <c r="AU136" s="247"/>
      <c r="AW136" s="116"/>
    </row>
    <row r="137" spans="39:49" ht="13.5" customHeight="1">
      <c r="AM137" s="247"/>
      <c r="AN137" s="247"/>
      <c r="AO137" s="247"/>
      <c r="AP137" s="247"/>
      <c r="AQ137" s="247"/>
      <c r="AR137" s="247"/>
      <c r="AS137" s="247"/>
      <c r="AT137" s="247"/>
      <c r="AU137" s="247"/>
      <c r="AW137" s="116"/>
    </row>
    <row r="138" spans="39:49" ht="24" customHeight="1">
      <c r="AM138" s="247"/>
      <c r="AN138" s="247"/>
      <c r="AO138" s="247"/>
      <c r="AP138" s="247"/>
      <c r="AQ138" s="247"/>
      <c r="AR138" s="247"/>
      <c r="AS138" s="247"/>
      <c r="AT138" s="247"/>
      <c r="AU138" s="247"/>
      <c r="AW138" s="116"/>
    </row>
    <row r="139" spans="39:49" ht="13.5" customHeight="1">
      <c r="AM139" s="247"/>
      <c r="AN139" s="247"/>
      <c r="AO139" s="247"/>
      <c r="AP139" s="247"/>
      <c r="AQ139" s="247"/>
      <c r="AR139" s="247"/>
      <c r="AS139" s="247"/>
      <c r="AT139" s="247"/>
      <c r="AU139" s="247"/>
      <c r="AW139" s="116"/>
    </row>
    <row r="140" spans="39:49" ht="24" customHeight="1">
      <c r="AM140" s="247"/>
      <c r="AN140" s="247"/>
      <c r="AO140" s="247"/>
      <c r="AP140" s="247"/>
      <c r="AQ140" s="247"/>
      <c r="AR140" s="247"/>
      <c r="AS140" s="247"/>
      <c r="AT140" s="247"/>
      <c r="AU140" s="247"/>
      <c r="AW140" s="116"/>
    </row>
    <row r="141" spans="39:49" ht="13.5" customHeight="1">
      <c r="AM141" s="247"/>
      <c r="AN141" s="247"/>
      <c r="AO141" s="247"/>
      <c r="AP141" s="247"/>
      <c r="AQ141" s="247"/>
      <c r="AR141" s="247"/>
      <c r="AS141" s="247"/>
      <c r="AT141" s="247"/>
      <c r="AU141" s="247"/>
      <c r="AW141" s="116"/>
    </row>
    <row r="142" spans="39:49" ht="24" customHeight="1">
      <c r="AM142" s="247"/>
      <c r="AN142" s="247"/>
      <c r="AO142" s="247"/>
      <c r="AP142" s="247"/>
      <c r="AQ142" s="247"/>
      <c r="AR142" s="247"/>
      <c r="AS142" s="247"/>
      <c r="AT142" s="247"/>
      <c r="AU142" s="247"/>
      <c r="AW142" s="116"/>
    </row>
    <row r="143" spans="39:49" ht="13.5" customHeight="1">
      <c r="AM143" s="247"/>
      <c r="AN143" s="247"/>
      <c r="AO143" s="247"/>
      <c r="AP143" s="247"/>
      <c r="AQ143" s="247"/>
      <c r="AR143" s="247"/>
      <c r="AS143" s="247"/>
      <c r="AT143" s="247"/>
      <c r="AU143" s="247"/>
      <c r="AW143" s="116"/>
    </row>
    <row r="144" spans="39:49" ht="24" customHeight="1">
      <c r="AM144" s="247"/>
      <c r="AN144" s="247"/>
      <c r="AO144" s="247"/>
      <c r="AP144" s="247"/>
      <c r="AQ144" s="247"/>
      <c r="AR144" s="247"/>
      <c r="AS144" s="247"/>
      <c r="AT144" s="247"/>
      <c r="AU144" s="247"/>
      <c r="AW144" s="116"/>
    </row>
    <row r="145" spans="39:49" ht="13.5" customHeight="1">
      <c r="AM145" s="247"/>
      <c r="AN145" s="247"/>
      <c r="AO145" s="247"/>
      <c r="AP145" s="247"/>
      <c r="AQ145" s="247"/>
      <c r="AR145" s="247"/>
      <c r="AS145" s="247"/>
      <c r="AT145" s="247"/>
      <c r="AU145" s="247"/>
      <c r="AW145" s="116"/>
    </row>
    <row r="146" spans="39:49" ht="24" customHeight="1">
      <c r="AM146" s="247"/>
      <c r="AN146" s="247"/>
      <c r="AO146" s="247"/>
      <c r="AP146" s="247"/>
      <c r="AQ146" s="247"/>
      <c r="AR146" s="247"/>
      <c r="AS146" s="247"/>
      <c r="AT146" s="247"/>
      <c r="AU146" s="247"/>
      <c r="AW146" s="116"/>
    </row>
    <row r="147" spans="39:49" ht="13.5" customHeight="1">
      <c r="AM147" s="247"/>
      <c r="AN147" s="247"/>
      <c r="AO147" s="247"/>
      <c r="AP147" s="247"/>
      <c r="AQ147" s="247"/>
      <c r="AR147" s="247"/>
      <c r="AS147" s="247"/>
      <c r="AT147" s="247"/>
      <c r="AU147" s="247"/>
      <c r="AW147" s="116"/>
    </row>
    <row r="148" spans="39:49" ht="24" customHeight="1">
      <c r="AM148" s="247"/>
      <c r="AN148" s="247"/>
      <c r="AO148" s="247"/>
      <c r="AP148" s="247"/>
      <c r="AQ148" s="247"/>
      <c r="AR148" s="247"/>
      <c r="AS148" s="247"/>
      <c r="AT148" s="247"/>
      <c r="AU148" s="247"/>
      <c r="AW148" s="116"/>
    </row>
    <row r="149" spans="39:49" ht="13.5" customHeight="1">
      <c r="AM149" s="247"/>
      <c r="AN149" s="247"/>
      <c r="AO149" s="247"/>
      <c r="AP149" s="247"/>
      <c r="AQ149" s="247"/>
      <c r="AR149" s="247"/>
      <c r="AS149" s="247"/>
      <c r="AT149" s="247"/>
      <c r="AU149" s="247"/>
      <c r="AW149" s="116"/>
    </row>
    <row r="150" spans="39:49" ht="24" customHeight="1">
      <c r="AM150" s="247"/>
      <c r="AN150" s="247"/>
      <c r="AO150" s="247"/>
      <c r="AP150" s="247"/>
      <c r="AQ150" s="247"/>
      <c r="AR150" s="247"/>
      <c r="AS150" s="247"/>
      <c r="AT150" s="247"/>
      <c r="AU150" s="247"/>
      <c r="AW150" s="116"/>
    </row>
    <row r="151" spans="39:49" ht="13.5" customHeight="1">
      <c r="AM151" s="247"/>
      <c r="AN151" s="247"/>
      <c r="AO151" s="247"/>
      <c r="AP151" s="247"/>
      <c r="AQ151" s="247"/>
      <c r="AR151" s="247"/>
      <c r="AS151" s="247"/>
      <c r="AT151" s="247"/>
      <c r="AU151" s="247"/>
      <c r="AW151" s="116"/>
    </row>
    <row r="152" spans="39:49" ht="24" customHeight="1">
      <c r="AM152" s="247"/>
      <c r="AN152" s="247"/>
      <c r="AO152" s="247"/>
      <c r="AP152" s="247"/>
      <c r="AQ152" s="247"/>
      <c r="AR152" s="247"/>
      <c r="AS152" s="247"/>
      <c r="AT152" s="247"/>
      <c r="AU152" s="247"/>
      <c r="AW152" s="116"/>
    </row>
    <row r="153" spans="39:49" ht="13.5" customHeight="1">
      <c r="AM153" s="247"/>
      <c r="AN153" s="247"/>
      <c r="AO153" s="247"/>
      <c r="AP153" s="247"/>
      <c r="AQ153" s="247"/>
      <c r="AR153" s="247"/>
      <c r="AS153" s="247"/>
      <c r="AT153" s="247"/>
      <c r="AU153" s="247"/>
      <c r="AW153" s="116"/>
    </row>
    <row r="154" spans="39:49" ht="24" customHeight="1">
      <c r="AM154" s="247"/>
      <c r="AN154" s="247"/>
      <c r="AO154" s="247"/>
      <c r="AP154" s="247"/>
      <c r="AQ154" s="247"/>
      <c r="AR154" s="247"/>
      <c r="AS154" s="247"/>
      <c r="AT154" s="247"/>
      <c r="AU154" s="247"/>
      <c r="AW154" s="116"/>
    </row>
    <row r="155" spans="39:49" ht="13.5" customHeight="1">
      <c r="AM155" s="247"/>
      <c r="AN155" s="247"/>
      <c r="AO155" s="247"/>
      <c r="AP155" s="247"/>
      <c r="AQ155" s="247"/>
      <c r="AR155" s="247"/>
      <c r="AS155" s="247"/>
      <c r="AT155" s="247"/>
      <c r="AU155" s="247"/>
      <c r="AW155" s="116"/>
    </row>
    <row r="156" spans="39:49" ht="24" customHeight="1">
      <c r="AM156" s="247"/>
      <c r="AN156" s="247"/>
      <c r="AO156" s="247"/>
      <c r="AP156" s="247"/>
      <c r="AQ156" s="247"/>
      <c r="AR156" s="247"/>
      <c r="AS156" s="247"/>
      <c r="AT156" s="247"/>
      <c r="AU156" s="247"/>
      <c r="AW156" s="116"/>
    </row>
    <row r="157" spans="39:49" ht="13.5" customHeight="1">
      <c r="AM157" s="247"/>
      <c r="AN157" s="247"/>
      <c r="AO157" s="247"/>
      <c r="AP157" s="247"/>
      <c r="AQ157" s="247"/>
      <c r="AR157" s="247"/>
      <c r="AS157" s="247"/>
      <c r="AT157" s="247"/>
      <c r="AU157" s="247"/>
      <c r="AW157" s="116"/>
    </row>
    <row r="158" spans="39:49" ht="24" customHeight="1">
      <c r="AM158" s="247"/>
      <c r="AN158" s="247"/>
      <c r="AO158" s="247"/>
      <c r="AP158" s="247"/>
      <c r="AQ158" s="247"/>
      <c r="AR158" s="247"/>
      <c r="AS158" s="247"/>
      <c r="AT158" s="247"/>
      <c r="AU158" s="247"/>
      <c r="AW158" s="116"/>
    </row>
    <row r="159" spans="39:49" ht="13.5" customHeight="1">
      <c r="AM159" s="247"/>
      <c r="AN159" s="247"/>
      <c r="AO159" s="247"/>
      <c r="AP159" s="247"/>
      <c r="AQ159" s="247"/>
      <c r="AR159" s="247"/>
      <c r="AS159" s="247"/>
      <c r="AT159" s="247"/>
      <c r="AU159" s="247"/>
      <c r="AW159" s="116"/>
    </row>
    <row r="160" spans="39:49" ht="24" customHeight="1">
      <c r="AM160" s="247"/>
      <c r="AN160" s="247"/>
      <c r="AO160" s="247"/>
      <c r="AP160" s="247"/>
      <c r="AQ160" s="247"/>
      <c r="AR160" s="247"/>
      <c r="AS160" s="247"/>
      <c r="AT160" s="247"/>
      <c r="AU160" s="247"/>
      <c r="AW160" s="116"/>
    </row>
    <row r="161" spans="39:49" ht="13.5" customHeight="1">
      <c r="AM161" s="247"/>
      <c r="AN161" s="247"/>
      <c r="AO161" s="247"/>
      <c r="AP161" s="247"/>
      <c r="AQ161" s="247"/>
      <c r="AR161" s="247"/>
      <c r="AS161" s="247"/>
      <c r="AT161" s="247"/>
      <c r="AU161" s="247"/>
      <c r="AW161" s="116"/>
    </row>
    <row r="162" spans="39:49" ht="24" customHeight="1">
      <c r="AM162" s="247"/>
      <c r="AN162" s="247"/>
      <c r="AO162" s="247"/>
      <c r="AP162" s="247"/>
      <c r="AQ162" s="247"/>
      <c r="AR162" s="247"/>
      <c r="AS162" s="247"/>
      <c r="AT162" s="247"/>
      <c r="AU162" s="247"/>
      <c r="AW162" s="116"/>
    </row>
    <row r="163" spans="39:49" ht="13.5" customHeight="1">
      <c r="AM163" s="247"/>
      <c r="AN163" s="247"/>
      <c r="AO163" s="247"/>
      <c r="AP163" s="247"/>
      <c r="AQ163" s="247"/>
      <c r="AR163" s="247"/>
      <c r="AS163" s="247"/>
      <c r="AT163" s="247"/>
      <c r="AU163" s="247"/>
      <c r="AW163" s="116"/>
    </row>
    <row r="164" spans="39:49" ht="24" customHeight="1">
      <c r="AM164" s="247"/>
      <c r="AN164" s="247"/>
      <c r="AO164" s="247"/>
      <c r="AP164" s="247"/>
      <c r="AQ164" s="247"/>
      <c r="AR164" s="247"/>
      <c r="AS164" s="247"/>
      <c r="AT164" s="247"/>
      <c r="AU164" s="247"/>
      <c r="AW164" s="116"/>
    </row>
    <row r="165" spans="39:49" ht="13.5" customHeight="1">
      <c r="AM165" s="247"/>
      <c r="AN165" s="247"/>
      <c r="AO165" s="247"/>
      <c r="AP165" s="247"/>
      <c r="AQ165" s="247"/>
      <c r="AR165" s="247"/>
      <c r="AS165" s="247"/>
      <c r="AT165" s="247"/>
      <c r="AU165" s="247"/>
      <c r="AW165" s="116"/>
    </row>
    <row r="166" spans="39:49" ht="24" customHeight="1">
      <c r="AM166" s="247"/>
      <c r="AN166" s="247"/>
      <c r="AO166" s="247"/>
      <c r="AP166" s="247"/>
      <c r="AQ166" s="247"/>
      <c r="AR166" s="247"/>
      <c r="AS166" s="247"/>
      <c r="AT166" s="247"/>
      <c r="AU166" s="247"/>
      <c r="AW166" s="116"/>
    </row>
    <row r="167" spans="39:49" ht="13.5" customHeight="1">
      <c r="AM167" s="247"/>
      <c r="AN167" s="247"/>
      <c r="AO167" s="247"/>
      <c r="AP167" s="247"/>
      <c r="AQ167" s="247"/>
      <c r="AR167" s="247"/>
      <c r="AS167" s="247"/>
      <c r="AT167" s="247"/>
      <c r="AU167" s="247"/>
      <c r="AW167" s="116"/>
    </row>
    <row r="168" spans="39:49" ht="24" customHeight="1">
      <c r="AM168" s="247"/>
      <c r="AN168" s="247"/>
      <c r="AO168" s="247"/>
      <c r="AP168" s="247"/>
      <c r="AQ168" s="247"/>
      <c r="AR168" s="247"/>
      <c r="AS168" s="247"/>
      <c r="AT168" s="247"/>
      <c r="AU168" s="247"/>
      <c r="AW168" s="116"/>
    </row>
    <row r="169" spans="39:49" ht="13.5" customHeight="1">
      <c r="AM169" s="247"/>
      <c r="AN169" s="247"/>
      <c r="AO169" s="247"/>
      <c r="AP169" s="247"/>
      <c r="AQ169" s="247"/>
      <c r="AR169" s="247"/>
      <c r="AS169" s="247"/>
      <c r="AT169" s="247"/>
      <c r="AU169" s="247"/>
      <c r="AW169" s="116"/>
    </row>
    <row r="170" spans="39:49" ht="24" customHeight="1">
      <c r="AM170" s="247"/>
      <c r="AN170" s="247"/>
      <c r="AO170" s="247"/>
      <c r="AP170" s="247"/>
      <c r="AQ170" s="247"/>
      <c r="AR170" s="247"/>
      <c r="AS170" s="247"/>
      <c r="AT170" s="247"/>
      <c r="AU170" s="247"/>
      <c r="AW170" s="116"/>
    </row>
    <row r="171" spans="39:49" ht="13.5" customHeight="1">
      <c r="AM171" s="247"/>
      <c r="AN171" s="247"/>
      <c r="AO171" s="247"/>
      <c r="AP171" s="247"/>
      <c r="AQ171" s="247"/>
      <c r="AR171" s="247"/>
      <c r="AS171" s="247"/>
      <c r="AT171" s="247"/>
      <c r="AU171" s="247"/>
      <c r="AW171" s="116"/>
    </row>
    <row r="172" spans="39:49" ht="24" customHeight="1">
      <c r="AM172" s="247"/>
      <c r="AN172" s="247"/>
      <c r="AO172" s="247"/>
      <c r="AP172" s="247"/>
      <c r="AQ172" s="247"/>
      <c r="AR172" s="247"/>
      <c r="AS172" s="247"/>
      <c r="AT172" s="247"/>
      <c r="AU172" s="247"/>
      <c r="AW172" s="116"/>
    </row>
    <row r="173" spans="39:49" ht="13.5" customHeight="1">
      <c r="AM173" s="247"/>
      <c r="AN173" s="247"/>
      <c r="AO173" s="247"/>
      <c r="AP173" s="247"/>
      <c r="AQ173" s="247"/>
      <c r="AR173" s="247"/>
      <c r="AS173" s="247"/>
      <c r="AT173" s="247"/>
      <c r="AU173" s="247"/>
      <c r="AW173" s="116"/>
    </row>
    <row r="174" spans="39:49" ht="24" customHeight="1">
      <c r="AM174" s="247"/>
      <c r="AN174" s="247"/>
      <c r="AO174" s="247"/>
      <c r="AP174" s="247"/>
      <c r="AQ174" s="247"/>
      <c r="AR174" s="247"/>
      <c r="AS174" s="247"/>
      <c r="AT174" s="247"/>
      <c r="AU174" s="247"/>
      <c r="AW174" s="116"/>
    </row>
    <row r="175" spans="39:49" ht="13.5" customHeight="1">
      <c r="AM175" s="247"/>
      <c r="AN175" s="247"/>
      <c r="AO175" s="247"/>
      <c r="AP175" s="247"/>
      <c r="AQ175" s="247"/>
      <c r="AR175" s="247"/>
      <c r="AS175" s="247"/>
      <c r="AT175" s="247"/>
      <c r="AU175" s="247"/>
      <c r="AW175" s="116"/>
    </row>
    <row r="176" spans="39:49" ht="24" customHeight="1">
      <c r="AM176" s="247"/>
      <c r="AN176" s="247"/>
      <c r="AO176" s="247"/>
      <c r="AP176" s="247"/>
      <c r="AQ176" s="247"/>
      <c r="AR176" s="247"/>
      <c r="AS176" s="247"/>
      <c r="AT176" s="247"/>
      <c r="AU176" s="247"/>
      <c r="AW176" s="116"/>
    </row>
    <row r="177" spans="39:49" ht="13.5" customHeight="1">
      <c r="AM177" s="247"/>
      <c r="AN177" s="247"/>
      <c r="AO177" s="247"/>
      <c r="AP177" s="247"/>
      <c r="AQ177" s="247"/>
      <c r="AR177" s="247"/>
      <c r="AS177" s="247"/>
      <c r="AT177" s="247"/>
      <c r="AU177" s="247"/>
      <c r="AW177" s="116"/>
    </row>
    <row r="178" spans="39:49" ht="24" customHeight="1">
      <c r="AM178" s="247"/>
      <c r="AN178" s="247"/>
      <c r="AO178" s="247"/>
      <c r="AP178" s="247"/>
      <c r="AQ178" s="247"/>
      <c r="AR178" s="247"/>
      <c r="AS178" s="247"/>
      <c r="AT178" s="247"/>
      <c r="AU178" s="247"/>
      <c r="AW178" s="116"/>
    </row>
    <row r="179" spans="39:49" ht="13.5" customHeight="1">
      <c r="AM179" s="247"/>
      <c r="AN179" s="247"/>
      <c r="AO179" s="247"/>
      <c r="AP179" s="247"/>
      <c r="AQ179" s="247"/>
      <c r="AR179" s="247"/>
      <c r="AS179" s="247"/>
      <c r="AT179" s="247"/>
      <c r="AU179" s="247"/>
      <c r="AW179" s="116"/>
    </row>
    <row r="180" spans="39:49" ht="24" customHeight="1">
      <c r="AM180" s="247"/>
      <c r="AN180" s="247"/>
      <c r="AO180" s="247"/>
      <c r="AP180" s="247"/>
      <c r="AQ180" s="247"/>
      <c r="AR180" s="247"/>
      <c r="AS180" s="247"/>
      <c r="AT180" s="247"/>
      <c r="AU180" s="247"/>
      <c r="AW180" s="116"/>
    </row>
    <row r="181" spans="39:49" ht="13.5" customHeight="1">
      <c r="AM181" s="247"/>
      <c r="AN181" s="247"/>
      <c r="AO181" s="247"/>
      <c r="AP181" s="247"/>
      <c r="AQ181" s="247"/>
      <c r="AR181" s="247"/>
      <c r="AS181" s="247"/>
      <c r="AT181" s="247"/>
      <c r="AU181" s="247"/>
      <c r="AW181" s="116"/>
    </row>
    <row r="182" spans="39:49" ht="24" customHeight="1">
      <c r="AM182" s="247"/>
      <c r="AN182" s="247"/>
      <c r="AO182" s="247"/>
      <c r="AP182" s="247"/>
      <c r="AQ182" s="247"/>
      <c r="AR182" s="247"/>
      <c r="AS182" s="247"/>
      <c r="AT182" s="247"/>
      <c r="AU182" s="247"/>
      <c r="AW182" s="116"/>
    </row>
    <row r="183" spans="39:49" ht="13.5" customHeight="1">
      <c r="AM183" s="247"/>
      <c r="AN183" s="247"/>
      <c r="AO183" s="247"/>
      <c r="AP183" s="247"/>
      <c r="AQ183" s="247"/>
      <c r="AR183" s="247"/>
      <c r="AS183" s="247"/>
      <c r="AT183" s="247"/>
      <c r="AU183" s="247"/>
      <c r="AW183" s="116"/>
    </row>
    <row r="184" spans="39:49" ht="24" customHeight="1">
      <c r="AM184" s="247"/>
      <c r="AN184" s="247"/>
      <c r="AO184" s="247"/>
      <c r="AP184" s="247"/>
      <c r="AQ184" s="247"/>
      <c r="AR184" s="247"/>
      <c r="AS184" s="247"/>
      <c r="AT184" s="247"/>
      <c r="AU184" s="247"/>
      <c r="AW184" s="116"/>
    </row>
    <row r="185" spans="39:49" ht="13.5" customHeight="1">
      <c r="AM185" s="247"/>
      <c r="AN185" s="247"/>
      <c r="AO185" s="247"/>
      <c r="AP185" s="247"/>
      <c r="AQ185" s="247"/>
      <c r="AR185" s="247"/>
      <c r="AS185" s="247"/>
      <c r="AT185" s="247"/>
      <c r="AU185" s="247"/>
      <c r="AW185" s="116"/>
    </row>
    <row r="186" spans="39:49" ht="24" customHeight="1">
      <c r="AM186" s="247"/>
      <c r="AN186" s="247"/>
      <c r="AO186" s="247"/>
      <c r="AP186" s="247"/>
      <c r="AQ186" s="247"/>
      <c r="AR186" s="247"/>
      <c r="AS186" s="247"/>
      <c r="AT186" s="247"/>
      <c r="AU186" s="247"/>
      <c r="AW186" s="116"/>
    </row>
    <row r="187" spans="39:49" ht="13.5" customHeight="1">
      <c r="AM187" s="247"/>
      <c r="AN187" s="247"/>
      <c r="AO187" s="247"/>
      <c r="AP187" s="247"/>
      <c r="AQ187" s="247"/>
      <c r="AR187" s="247"/>
      <c r="AS187" s="247"/>
      <c r="AT187" s="247"/>
      <c r="AU187" s="247"/>
      <c r="AW187" s="116"/>
    </row>
    <row r="188" spans="39:49" ht="24" customHeight="1">
      <c r="AM188" s="247"/>
      <c r="AN188" s="247"/>
      <c r="AO188" s="247"/>
      <c r="AP188" s="247"/>
      <c r="AQ188" s="247"/>
      <c r="AR188" s="247"/>
      <c r="AS188" s="247"/>
      <c r="AT188" s="247"/>
      <c r="AU188" s="247"/>
      <c r="AW188" s="116"/>
    </row>
    <row r="189" spans="39:49" ht="13.5" customHeight="1">
      <c r="AM189" s="247"/>
      <c r="AN189" s="247"/>
      <c r="AO189" s="247"/>
      <c r="AP189" s="247"/>
      <c r="AQ189" s="247"/>
      <c r="AR189" s="247"/>
      <c r="AS189" s="247"/>
      <c r="AT189" s="247"/>
      <c r="AU189" s="247"/>
      <c r="AW189" s="116"/>
    </row>
    <row r="190" spans="39:49" ht="24" customHeight="1">
      <c r="AM190" s="247"/>
      <c r="AN190" s="247"/>
      <c r="AO190" s="247"/>
      <c r="AP190" s="247"/>
      <c r="AQ190" s="247"/>
      <c r="AR190" s="247"/>
      <c r="AS190" s="247"/>
      <c r="AT190" s="247"/>
      <c r="AU190" s="247"/>
      <c r="AW190" s="116"/>
    </row>
    <row r="191" spans="39:49" ht="13.5" customHeight="1">
      <c r="AM191" s="247"/>
      <c r="AN191" s="247"/>
      <c r="AO191" s="247"/>
      <c r="AP191" s="247"/>
      <c r="AQ191" s="247"/>
      <c r="AR191" s="247"/>
      <c r="AS191" s="247"/>
      <c r="AT191" s="247"/>
      <c r="AU191" s="247"/>
      <c r="AW191" s="116"/>
    </row>
    <row r="192" spans="39:49" ht="24" customHeight="1">
      <c r="AM192" s="247"/>
      <c r="AN192" s="247"/>
      <c r="AO192" s="247"/>
      <c r="AP192" s="247"/>
      <c r="AQ192" s="247"/>
      <c r="AR192" s="247"/>
      <c r="AS192" s="247"/>
      <c r="AT192" s="247"/>
      <c r="AU192" s="247"/>
      <c r="AW192" s="116"/>
    </row>
    <row r="193" spans="39:49" ht="13.5" customHeight="1">
      <c r="AM193" s="247"/>
      <c r="AN193" s="247"/>
      <c r="AO193" s="247"/>
      <c r="AP193" s="247"/>
      <c r="AQ193" s="247"/>
      <c r="AR193" s="247"/>
      <c r="AS193" s="247"/>
      <c r="AT193" s="247"/>
      <c r="AU193" s="247"/>
      <c r="AW193" s="116"/>
    </row>
    <row r="194" spans="39:49" ht="24" customHeight="1">
      <c r="AM194" s="247"/>
      <c r="AN194" s="247"/>
      <c r="AO194" s="247"/>
      <c r="AP194" s="247"/>
      <c r="AQ194" s="247"/>
      <c r="AR194" s="247"/>
      <c r="AS194" s="247"/>
      <c r="AT194" s="247"/>
      <c r="AU194" s="247"/>
      <c r="AW194" s="116"/>
    </row>
    <row r="195" spans="39:49" ht="13.5" customHeight="1">
      <c r="AM195" s="247"/>
      <c r="AN195" s="247"/>
      <c r="AO195" s="247"/>
      <c r="AP195" s="247"/>
      <c r="AQ195" s="247"/>
      <c r="AR195" s="247"/>
      <c r="AS195" s="247"/>
      <c r="AT195" s="247"/>
      <c r="AU195" s="247"/>
      <c r="AW195" s="116"/>
    </row>
    <row r="196" spans="39:49" ht="24" customHeight="1">
      <c r="AM196" s="247"/>
      <c r="AN196" s="247"/>
      <c r="AO196" s="247"/>
      <c r="AP196" s="247"/>
      <c r="AQ196" s="247"/>
      <c r="AR196" s="247"/>
      <c r="AS196" s="247"/>
      <c r="AT196" s="247"/>
      <c r="AU196" s="247"/>
      <c r="AW196" s="116"/>
    </row>
    <row r="197" spans="39:49" ht="13.5" customHeight="1">
      <c r="AM197" s="247"/>
      <c r="AN197" s="247"/>
      <c r="AO197" s="247"/>
      <c r="AP197" s="247"/>
      <c r="AQ197" s="247"/>
      <c r="AR197" s="247"/>
      <c r="AS197" s="247"/>
      <c r="AT197" s="247"/>
      <c r="AU197" s="247"/>
      <c r="AW197" s="116"/>
    </row>
    <row r="198" spans="39:49" ht="24" customHeight="1">
      <c r="AM198" s="247"/>
      <c r="AN198" s="247"/>
      <c r="AO198" s="247"/>
      <c r="AP198" s="247"/>
      <c r="AQ198" s="247"/>
      <c r="AR198" s="247"/>
      <c r="AS198" s="247"/>
      <c r="AT198" s="247"/>
      <c r="AU198" s="247"/>
      <c r="AW198" s="116"/>
    </row>
    <row r="199" spans="39:49" ht="13.5" customHeight="1">
      <c r="AM199" s="247"/>
      <c r="AN199" s="247"/>
      <c r="AO199" s="247"/>
      <c r="AP199" s="247"/>
      <c r="AQ199" s="247"/>
      <c r="AR199" s="247"/>
      <c r="AS199" s="247"/>
      <c r="AT199" s="247"/>
      <c r="AU199" s="247"/>
      <c r="AW199" s="116"/>
    </row>
    <row r="200" spans="39:49" ht="24" customHeight="1">
      <c r="AM200" s="247"/>
      <c r="AN200" s="247"/>
      <c r="AO200" s="247"/>
      <c r="AP200" s="247"/>
      <c r="AQ200" s="247"/>
      <c r="AR200" s="247"/>
      <c r="AS200" s="247"/>
      <c r="AT200" s="247"/>
      <c r="AU200" s="247"/>
      <c r="AW200" s="116"/>
    </row>
    <row r="201" spans="39:49" ht="13.5" customHeight="1">
      <c r="AM201" s="247"/>
      <c r="AN201" s="247"/>
      <c r="AO201" s="247"/>
      <c r="AP201" s="247"/>
      <c r="AQ201" s="247"/>
      <c r="AR201" s="247"/>
      <c r="AS201" s="247"/>
      <c r="AT201" s="247"/>
      <c r="AU201" s="247"/>
      <c r="AW201" s="116"/>
    </row>
    <row r="202" spans="39:49" ht="24" customHeight="1">
      <c r="AM202" s="247"/>
      <c r="AN202" s="247"/>
      <c r="AO202" s="247"/>
      <c r="AP202" s="247"/>
      <c r="AQ202" s="247"/>
      <c r="AR202" s="247"/>
      <c r="AS202" s="247"/>
      <c r="AT202" s="247"/>
      <c r="AU202" s="247"/>
      <c r="AW202" s="116"/>
    </row>
    <row r="203" spans="39:49" ht="13.5" customHeight="1">
      <c r="AM203" s="247"/>
      <c r="AN203" s="247"/>
      <c r="AO203" s="247"/>
      <c r="AP203" s="247"/>
      <c r="AQ203" s="247"/>
      <c r="AR203" s="247"/>
      <c r="AS203" s="247"/>
      <c r="AT203" s="247"/>
      <c r="AU203" s="247"/>
      <c r="AW203" s="116"/>
    </row>
    <row r="204" spans="39:49" ht="24" customHeight="1">
      <c r="AM204" s="247"/>
      <c r="AN204" s="247"/>
      <c r="AO204" s="247"/>
      <c r="AP204" s="247"/>
      <c r="AQ204" s="247"/>
      <c r="AR204" s="247"/>
      <c r="AS204" s="247"/>
      <c r="AT204" s="247"/>
      <c r="AU204" s="247"/>
      <c r="AW204" s="116"/>
    </row>
    <row r="205" spans="39:49" ht="13.5" customHeight="1">
      <c r="AM205" s="247"/>
      <c r="AN205" s="247"/>
      <c r="AO205" s="247"/>
      <c r="AP205" s="247"/>
      <c r="AQ205" s="247"/>
      <c r="AR205" s="247"/>
      <c r="AS205" s="247"/>
      <c r="AT205" s="247"/>
      <c r="AU205" s="247"/>
      <c r="AW205" s="116"/>
    </row>
    <row r="206" spans="39:49" ht="24" customHeight="1">
      <c r="AM206" s="247"/>
      <c r="AN206" s="247"/>
      <c r="AO206" s="247"/>
      <c r="AP206" s="247"/>
      <c r="AQ206" s="247"/>
      <c r="AR206" s="247"/>
      <c r="AS206" s="247"/>
      <c r="AT206" s="247"/>
      <c r="AU206" s="247"/>
      <c r="AW206" s="116"/>
    </row>
    <row r="207" spans="39:49" ht="13.5" customHeight="1">
      <c r="AM207" s="247"/>
      <c r="AN207" s="247"/>
      <c r="AO207" s="247"/>
      <c r="AP207" s="247"/>
      <c r="AQ207" s="247"/>
      <c r="AR207" s="247"/>
      <c r="AS207" s="247"/>
      <c r="AT207" s="247"/>
      <c r="AU207" s="247"/>
      <c r="AW207" s="116"/>
    </row>
    <row r="208" spans="39:49" ht="24" customHeight="1">
      <c r="AM208" s="247"/>
      <c r="AN208" s="247"/>
      <c r="AO208" s="247"/>
      <c r="AP208" s="247"/>
      <c r="AQ208" s="247"/>
      <c r="AR208" s="247"/>
      <c r="AS208" s="247"/>
      <c r="AT208" s="247"/>
      <c r="AU208" s="247"/>
      <c r="AW208" s="116"/>
    </row>
    <row r="209" spans="39:49" ht="13.5" customHeight="1">
      <c r="AM209" s="247"/>
      <c r="AN209" s="247"/>
      <c r="AO209" s="247"/>
      <c r="AP209" s="247"/>
      <c r="AQ209" s="247"/>
      <c r="AR209" s="247"/>
      <c r="AS209" s="247"/>
      <c r="AT209" s="247"/>
      <c r="AU209" s="247"/>
      <c r="AW209" s="116"/>
    </row>
    <row r="210" spans="39:49" ht="24" customHeight="1">
      <c r="AM210" s="247"/>
      <c r="AN210" s="247"/>
      <c r="AO210" s="247"/>
      <c r="AP210" s="247"/>
      <c r="AQ210" s="247"/>
      <c r="AR210" s="247"/>
      <c r="AS210" s="247"/>
      <c r="AT210" s="247"/>
      <c r="AU210" s="247"/>
      <c r="AW210" s="116"/>
    </row>
    <row r="211" spans="39:49" ht="13.5" customHeight="1">
      <c r="AM211" s="247"/>
      <c r="AN211" s="247"/>
      <c r="AO211" s="247"/>
      <c r="AP211" s="247"/>
      <c r="AQ211" s="247"/>
      <c r="AR211" s="247"/>
      <c r="AS211" s="247"/>
      <c r="AT211" s="247"/>
      <c r="AU211" s="247"/>
      <c r="AW211" s="116"/>
    </row>
    <row r="212" spans="39:49" ht="24" customHeight="1">
      <c r="AM212" s="247"/>
      <c r="AN212" s="247"/>
      <c r="AO212" s="247"/>
      <c r="AP212" s="247"/>
      <c r="AQ212" s="247"/>
      <c r="AR212" s="247"/>
      <c r="AS212" s="247"/>
      <c r="AT212" s="247"/>
      <c r="AU212" s="247"/>
      <c r="AW212" s="116"/>
    </row>
    <row r="213" spans="39:49" ht="13.5" customHeight="1">
      <c r="AM213" s="247"/>
      <c r="AN213" s="247"/>
      <c r="AO213" s="247"/>
      <c r="AP213" s="247"/>
      <c r="AQ213" s="247"/>
      <c r="AR213" s="247"/>
      <c r="AS213" s="247"/>
      <c r="AT213" s="247"/>
      <c r="AU213" s="247"/>
      <c r="AW213" s="116"/>
    </row>
    <row r="214" spans="39:49" ht="24" customHeight="1">
      <c r="AM214" s="247"/>
      <c r="AN214" s="247"/>
      <c r="AO214" s="247"/>
      <c r="AP214" s="247"/>
      <c r="AQ214" s="247"/>
      <c r="AR214" s="247"/>
      <c r="AS214" s="247"/>
      <c r="AT214" s="247"/>
      <c r="AU214" s="247"/>
      <c r="AW214" s="116"/>
    </row>
    <row r="215" spans="39:49" ht="13.5" customHeight="1">
      <c r="AM215" s="247"/>
      <c r="AN215" s="247"/>
      <c r="AO215" s="247"/>
      <c r="AP215" s="247"/>
      <c r="AQ215" s="247"/>
      <c r="AR215" s="247"/>
      <c r="AS215" s="247"/>
      <c r="AT215" s="247"/>
      <c r="AU215" s="247"/>
      <c r="AW215" s="116"/>
    </row>
    <row r="216" spans="39:49" ht="24" customHeight="1">
      <c r="AM216" s="247"/>
      <c r="AN216" s="247"/>
      <c r="AO216" s="247"/>
      <c r="AP216" s="247"/>
      <c r="AQ216" s="247"/>
      <c r="AR216" s="247"/>
      <c r="AS216" s="247"/>
      <c r="AT216" s="247"/>
      <c r="AU216" s="247"/>
      <c r="AW216" s="116"/>
    </row>
    <row r="217" spans="39:49" ht="13.5" customHeight="1">
      <c r="AM217" s="247"/>
      <c r="AN217" s="247"/>
      <c r="AO217" s="247"/>
      <c r="AP217" s="247"/>
      <c r="AQ217" s="247"/>
      <c r="AR217" s="247"/>
      <c r="AS217" s="247"/>
      <c r="AT217" s="247"/>
      <c r="AU217" s="247"/>
      <c r="AW217" s="116"/>
    </row>
    <row r="218" spans="39:49" ht="24" customHeight="1">
      <c r="AM218" s="247"/>
      <c r="AN218" s="247"/>
      <c r="AO218" s="247"/>
      <c r="AP218" s="247"/>
      <c r="AQ218" s="247"/>
      <c r="AR218" s="247"/>
      <c r="AS218" s="247"/>
      <c r="AT218" s="247"/>
      <c r="AU218" s="247"/>
      <c r="AW218" s="116"/>
    </row>
    <row r="219" spans="39:49" ht="13.5" customHeight="1">
      <c r="AM219" s="247"/>
      <c r="AN219" s="247"/>
      <c r="AO219" s="247"/>
      <c r="AP219" s="247"/>
      <c r="AQ219" s="247"/>
      <c r="AR219" s="247"/>
      <c r="AS219" s="247"/>
      <c r="AT219" s="247"/>
      <c r="AU219" s="247"/>
      <c r="AW219" s="116"/>
    </row>
    <row r="220" spans="39:49" ht="24" customHeight="1">
      <c r="AM220" s="247"/>
      <c r="AN220" s="247"/>
      <c r="AO220" s="247"/>
      <c r="AP220" s="247"/>
      <c r="AQ220" s="247"/>
      <c r="AR220" s="247"/>
      <c r="AS220" s="247"/>
      <c r="AT220" s="247"/>
      <c r="AU220" s="247"/>
      <c r="AW220" s="116"/>
    </row>
    <row r="221" spans="39:49" ht="13.5" customHeight="1">
      <c r="AM221" s="247"/>
      <c r="AN221" s="247"/>
      <c r="AO221" s="247"/>
      <c r="AP221" s="247"/>
      <c r="AQ221" s="247"/>
      <c r="AR221" s="247"/>
      <c r="AS221" s="247"/>
      <c r="AT221" s="247"/>
      <c r="AU221" s="247"/>
      <c r="AW221" s="116"/>
    </row>
    <row r="222" spans="39:49" ht="24" customHeight="1">
      <c r="AM222" s="247"/>
      <c r="AN222" s="247"/>
      <c r="AO222" s="247"/>
      <c r="AP222" s="247"/>
      <c r="AQ222" s="247"/>
      <c r="AR222" s="247"/>
      <c r="AS222" s="247"/>
      <c r="AT222" s="247"/>
      <c r="AU222" s="247"/>
      <c r="AW222" s="116"/>
    </row>
    <row r="223" spans="39:49" ht="13.5" customHeight="1">
      <c r="AM223" s="247"/>
      <c r="AN223" s="247"/>
      <c r="AO223" s="247"/>
      <c r="AP223" s="247"/>
      <c r="AQ223" s="247"/>
      <c r="AR223" s="247"/>
      <c r="AS223" s="247"/>
      <c r="AT223" s="247"/>
      <c r="AU223" s="247"/>
      <c r="AW223" s="116"/>
    </row>
    <row r="224" spans="39:49" ht="24" customHeight="1">
      <c r="AM224" s="247"/>
      <c r="AN224" s="247"/>
      <c r="AO224" s="247"/>
      <c r="AP224" s="247"/>
      <c r="AQ224" s="247"/>
      <c r="AR224" s="247"/>
      <c r="AS224" s="247"/>
      <c r="AT224" s="247"/>
      <c r="AU224" s="247"/>
      <c r="AW224" s="116"/>
    </row>
    <row r="225" spans="39:49" ht="13.5" customHeight="1">
      <c r="AM225" s="247"/>
      <c r="AN225" s="247"/>
      <c r="AO225" s="247"/>
      <c r="AP225" s="247"/>
      <c r="AQ225" s="247"/>
      <c r="AR225" s="247"/>
      <c r="AS225" s="247"/>
      <c r="AT225" s="247"/>
      <c r="AU225" s="247"/>
      <c r="AW225" s="116"/>
    </row>
    <row r="226" spans="39:49" ht="24" customHeight="1">
      <c r="AM226" s="247"/>
      <c r="AN226" s="247"/>
      <c r="AO226" s="247"/>
      <c r="AP226" s="247"/>
      <c r="AQ226" s="247"/>
      <c r="AR226" s="247"/>
      <c r="AS226" s="247"/>
      <c r="AT226" s="247"/>
      <c r="AU226" s="247"/>
      <c r="AW226" s="116"/>
    </row>
    <row r="227" spans="39:49" ht="13.5" customHeight="1">
      <c r="AM227" s="247"/>
      <c r="AN227" s="247"/>
      <c r="AO227" s="247"/>
      <c r="AP227" s="247"/>
      <c r="AQ227" s="247"/>
      <c r="AR227" s="247"/>
      <c r="AS227" s="247"/>
      <c r="AT227" s="247"/>
      <c r="AU227" s="247"/>
      <c r="AW227" s="116"/>
    </row>
    <row r="228" spans="39:49" ht="24" customHeight="1">
      <c r="AM228" s="247"/>
      <c r="AN228" s="247"/>
      <c r="AO228" s="247"/>
      <c r="AP228" s="247"/>
      <c r="AQ228" s="247"/>
      <c r="AR228" s="247"/>
      <c r="AS228" s="247"/>
      <c r="AT228" s="247"/>
      <c r="AU228" s="247"/>
      <c r="AW228" s="116"/>
    </row>
    <row r="229" spans="39:49" ht="13.5" customHeight="1">
      <c r="AM229" s="247"/>
      <c r="AN229" s="247"/>
      <c r="AO229" s="247"/>
      <c r="AP229" s="247"/>
      <c r="AQ229" s="247"/>
      <c r="AR229" s="247"/>
      <c r="AS229" s="247"/>
      <c r="AT229" s="247"/>
      <c r="AU229" s="247"/>
      <c r="AW229" s="116"/>
    </row>
    <row r="230" spans="39:49" ht="24" customHeight="1">
      <c r="AM230" s="247"/>
      <c r="AN230" s="247"/>
      <c r="AO230" s="247"/>
      <c r="AP230" s="247"/>
      <c r="AQ230" s="247"/>
      <c r="AR230" s="247"/>
      <c r="AS230" s="247"/>
      <c r="AT230" s="247"/>
      <c r="AU230" s="247"/>
      <c r="AW230" s="116"/>
    </row>
    <row r="231" spans="39:49" ht="13.5" customHeight="1">
      <c r="AM231" s="247"/>
      <c r="AN231" s="247"/>
      <c r="AO231" s="247"/>
      <c r="AP231" s="247"/>
      <c r="AQ231" s="247"/>
      <c r="AR231" s="247"/>
      <c r="AS231" s="247"/>
      <c r="AT231" s="247"/>
      <c r="AU231" s="247"/>
      <c r="AW231" s="116"/>
    </row>
    <row r="232" spans="39:49" ht="24" customHeight="1">
      <c r="AM232" s="247"/>
      <c r="AN232" s="247"/>
      <c r="AO232" s="247"/>
      <c r="AP232" s="247"/>
      <c r="AQ232" s="247"/>
      <c r="AR232" s="247"/>
      <c r="AS232" s="247"/>
      <c r="AT232" s="247"/>
      <c r="AU232" s="247"/>
      <c r="AW232" s="116"/>
    </row>
    <row r="233" spans="39:49" ht="13.5" customHeight="1">
      <c r="AM233" s="247"/>
      <c r="AN233" s="247"/>
      <c r="AO233" s="247"/>
      <c r="AP233" s="247"/>
      <c r="AQ233" s="247"/>
      <c r="AR233" s="247"/>
      <c r="AS233" s="247"/>
      <c r="AT233" s="247"/>
      <c r="AU233" s="247"/>
      <c r="AW233" s="116"/>
    </row>
    <row r="234" spans="39:49" ht="24" customHeight="1">
      <c r="AM234" s="247"/>
      <c r="AN234" s="247"/>
      <c r="AO234" s="247"/>
      <c r="AP234" s="247"/>
      <c r="AQ234" s="247"/>
      <c r="AR234" s="247"/>
      <c r="AS234" s="247"/>
      <c r="AT234" s="247"/>
      <c r="AU234" s="247"/>
      <c r="AW234" s="116"/>
    </row>
    <row r="235" spans="39:49" ht="13.5" customHeight="1">
      <c r="AM235" s="247"/>
      <c r="AN235" s="247"/>
      <c r="AO235" s="247"/>
      <c r="AP235" s="247"/>
      <c r="AQ235" s="247"/>
      <c r="AR235" s="247"/>
      <c r="AS235" s="247"/>
      <c r="AT235" s="247"/>
      <c r="AU235" s="247"/>
      <c r="AW235" s="116"/>
    </row>
    <row r="236" spans="39:49" ht="24" customHeight="1">
      <c r="AM236" s="247"/>
      <c r="AN236" s="247"/>
      <c r="AO236" s="247"/>
      <c r="AP236" s="247"/>
      <c r="AQ236" s="247"/>
      <c r="AR236" s="247"/>
      <c r="AS236" s="247"/>
      <c r="AT236" s="247"/>
      <c r="AU236" s="247"/>
      <c r="AW236" s="116"/>
    </row>
    <row r="237" spans="39:49" ht="13.5" customHeight="1">
      <c r="AM237" s="247"/>
      <c r="AN237" s="247"/>
      <c r="AO237" s="247"/>
      <c r="AP237" s="247"/>
      <c r="AQ237" s="247"/>
      <c r="AR237" s="247"/>
      <c r="AS237" s="247"/>
      <c r="AT237" s="247"/>
      <c r="AU237" s="247"/>
      <c r="AW237" s="116"/>
    </row>
    <row r="238" spans="39:49" ht="24" customHeight="1">
      <c r="AM238" s="247"/>
      <c r="AN238" s="247"/>
      <c r="AO238" s="247"/>
      <c r="AP238" s="247"/>
      <c r="AQ238" s="247"/>
      <c r="AR238" s="247"/>
      <c r="AS238" s="247"/>
      <c r="AT238" s="247"/>
      <c r="AU238" s="247"/>
      <c r="AW238" s="116"/>
    </row>
    <row r="239" spans="39:49" ht="13.5" customHeight="1">
      <c r="AM239" s="247"/>
      <c r="AN239" s="247"/>
      <c r="AO239" s="247"/>
      <c r="AP239" s="247"/>
      <c r="AQ239" s="247"/>
      <c r="AR239" s="247"/>
      <c r="AS239" s="247"/>
      <c r="AT239" s="247"/>
      <c r="AU239" s="247"/>
      <c r="AW239" s="116"/>
    </row>
    <row r="240" spans="39:49" ht="24" customHeight="1">
      <c r="AM240" s="247"/>
      <c r="AN240" s="247"/>
      <c r="AO240" s="247"/>
      <c r="AP240" s="247"/>
      <c r="AQ240" s="247"/>
      <c r="AR240" s="247"/>
      <c r="AS240" s="247"/>
      <c r="AT240" s="247"/>
      <c r="AU240" s="247"/>
      <c r="AW240" s="116"/>
    </row>
    <row r="241" spans="39:49" ht="13.5" customHeight="1">
      <c r="AM241" s="247"/>
      <c r="AN241" s="247"/>
      <c r="AO241" s="247"/>
      <c r="AP241" s="247"/>
      <c r="AQ241" s="247"/>
      <c r="AR241" s="247"/>
      <c r="AS241" s="247"/>
      <c r="AT241" s="247"/>
      <c r="AU241" s="247"/>
      <c r="AW241" s="116"/>
    </row>
    <row r="242" spans="39:49" ht="24" customHeight="1">
      <c r="AM242" s="247"/>
      <c r="AN242" s="247"/>
      <c r="AO242" s="247"/>
      <c r="AP242" s="247"/>
      <c r="AQ242" s="247"/>
      <c r="AR242" s="247"/>
      <c r="AS242" s="247"/>
      <c r="AT242" s="247"/>
      <c r="AU242" s="247"/>
      <c r="AW242" s="116"/>
    </row>
    <row r="243" spans="39:49" ht="13.5" customHeight="1">
      <c r="AM243" s="247"/>
      <c r="AN243" s="247"/>
      <c r="AO243" s="247"/>
      <c r="AP243" s="247"/>
      <c r="AQ243" s="247"/>
      <c r="AR243" s="247"/>
      <c r="AS243" s="247"/>
      <c r="AT243" s="247"/>
      <c r="AU243" s="247"/>
      <c r="AW243" s="116"/>
    </row>
    <row r="244" spans="39:49" ht="24" customHeight="1">
      <c r="AM244" s="247"/>
      <c r="AN244" s="247"/>
      <c r="AO244" s="247"/>
      <c r="AP244" s="247"/>
      <c r="AQ244" s="247"/>
      <c r="AR244" s="247"/>
      <c r="AS244" s="247"/>
      <c r="AT244" s="247"/>
      <c r="AU244" s="247"/>
      <c r="AW244" s="116"/>
    </row>
    <row r="245" spans="39:49" ht="13.5" customHeight="1">
      <c r="AM245" s="247"/>
      <c r="AN245" s="247"/>
      <c r="AO245" s="247"/>
      <c r="AP245" s="247"/>
      <c r="AQ245" s="247"/>
      <c r="AR245" s="247"/>
      <c r="AS245" s="247"/>
      <c r="AT245" s="247"/>
      <c r="AU245" s="247"/>
      <c r="AW245" s="116"/>
    </row>
    <row r="246" spans="39:49" ht="24" customHeight="1">
      <c r="AM246" s="247"/>
      <c r="AN246" s="247"/>
      <c r="AO246" s="247"/>
      <c r="AP246" s="247"/>
      <c r="AQ246" s="247"/>
      <c r="AR246" s="247"/>
      <c r="AS246" s="247"/>
      <c r="AT246" s="247"/>
      <c r="AU246" s="247"/>
      <c r="AW246" s="116"/>
    </row>
    <row r="247" spans="39:49" ht="13.5" customHeight="1">
      <c r="AM247" s="247"/>
      <c r="AN247" s="247"/>
      <c r="AO247" s="247"/>
      <c r="AP247" s="247"/>
      <c r="AQ247" s="247"/>
      <c r="AR247" s="247"/>
      <c r="AS247" s="247"/>
      <c r="AT247" s="247"/>
      <c r="AU247" s="247"/>
      <c r="AW247" s="116"/>
    </row>
    <row r="248" spans="39:49" ht="24" customHeight="1">
      <c r="AM248" s="247"/>
      <c r="AN248" s="247"/>
      <c r="AO248" s="247"/>
      <c r="AP248" s="247"/>
      <c r="AQ248" s="247"/>
      <c r="AR248" s="247"/>
      <c r="AS248" s="247"/>
      <c r="AT248" s="247"/>
      <c r="AU248" s="247"/>
      <c r="AW248" s="116"/>
    </row>
    <row r="249" spans="39:49" ht="13.5" customHeight="1">
      <c r="AM249" s="247"/>
      <c r="AN249" s="247"/>
      <c r="AO249" s="247"/>
      <c r="AP249" s="247"/>
      <c r="AQ249" s="247"/>
      <c r="AR249" s="247"/>
      <c r="AS249" s="247"/>
      <c r="AT249" s="247"/>
      <c r="AU249" s="247"/>
      <c r="AW249" s="116"/>
    </row>
    <row r="250" spans="39:49" ht="24" customHeight="1">
      <c r="AM250" s="247"/>
      <c r="AN250" s="247"/>
      <c r="AO250" s="247"/>
      <c r="AP250" s="247"/>
      <c r="AQ250" s="247"/>
      <c r="AR250" s="247"/>
      <c r="AS250" s="247"/>
      <c r="AT250" s="247"/>
      <c r="AU250" s="247"/>
      <c r="AW250" s="116"/>
    </row>
    <row r="251" spans="39:49" ht="13.5" customHeight="1">
      <c r="AM251" s="247"/>
      <c r="AN251" s="247"/>
      <c r="AO251" s="247"/>
      <c r="AP251" s="247"/>
      <c r="AQ251" s="247"/>
      <c r="AR251" s="247"/>
      <c r="AS251" s="247"/>
      <c r="AT251" s="247"/>
      <c r="AU251" s="247"/>
      <c r="AW251" s="116"/>
    </row>
    <row r="252" spans="39:49" ht="24" customHeight="1">
      <c r="AM252" s="247"/>
      <c r="AN252" s="247"/>
      <c r="AO252" s="247"/>
      <c r="AP252" s="247"/>
      <c r="AQ252" s="247"/>
      <c r="AR252" s="247"/>
      <c r="AS252" s="247"/>
      <c r="AT252" s="247"/>
      <c r="AU252" s="247"/>
      <c r="AW252" s="116"/>
    </row>
    <row r="253" spans="39:49" ht="13.5" customHeight="1">
      <c r="AM253" s="247"/>
      <c r="AN253" s="247"/>
      <c r="AO253" s="247"/>
      <c r="AP253" s="247"/>
      <c r="AQ253" s="247"/>
      <c r="AR253" s="247"/>
      <c r="AS253" s="247"/>
      <c r="AT253" s="247"/>
      <c r="AU253" s="247"/>
      <c r="AW253" s="116"/>
    </row>
    <row r="254" spans="39:49" ht="24" customHeight="1">
      <c r="AM254" s="247"/>
      <c r="AN254" s="247"/>
      <c r="AO254" s="247"/>
      <c r="AP254" s="247"/>
      <c r="AQ254" s="247"/>
      <c r="AR254" s="247"/>
      <c r="AS254" s="247"/>
      <c r="AT254" s="247"/>
      <c r="AU254" s="247"/>
      <c r="AW254" s="116"/>
    </row>
    <row r="255" spans="39:49" ht="13.5" customHeight="1">
      <c r="AM255" s="247"/>
      <c r="AN255" s="247"/>
      <c r="AO255" s="247"/>
      <c r="AP255" s="247"/>
      <c r="AQ255" s="247"/>
      <c r="AR255" s="247"/>
      <c r="AS255" s="247"/>
      <c r="AT255" s="247"/>
      <c r="AU255" s="247"/>
      <c r="AW255" s="116"/>
    </row>
    <row r="256" spans="39:49" ht="24" customHeight="1">
      <c r="AM256" s="247"/>
      <c r="AN256" s="247"/>
      <c r="AO256" s="247"/>
      <c r="AP256" s="247"/>
      <c r="AQ256" s="247"/>
      <c r="AR256" s="247"/>
      <c r="AS256" s="247"/>
      <c r="AT256" s="247"/>
      <c r="AU256" s="247"/>
      <c r="AW256" s="116"/>
    </row>
    <row r="257" spans="39:49" ht="13.5" customHeight="1">
      <c r="AM257" s="247"/>
      <c r="AN257" s="247"/>
      <c r="AO257" s="247"/>
      <c r="AP257" s="247"/>
      <c r="AQ257" s="247"/>
      <c r="AR257" s="247"/>
      <c r="AS257" s="247"/>
      <c r="AT257" s="247"/>
      <c r="AU257" s="247"/>
      <c r="AW257" s="116"/>
    </row>
    <row r="258" spans="39:49" ht="24" customHeight="1">
      <c r="AM258" s="247"/>
      <c r="AN258" s="247"/>
      <c r="AO258" s="247"/>
      <c r="AP258" s="247"/>
      <c r="AQ258" s="247"/>
      <c r="AR258" s="247"/>
      <c r="AS258" s="247"/>
      <c r="AT258" s="247"/>
      <c r="AU258" s="247"/>
      <c r="AW258" s="116"/>
    </row>
    <row r="259" spans="39:49" ht="13.5" customHeight="1">
      <c r="AM259" s="247"/>
      <c r="AN259" s="247"/>
      <c r="AO259" s="247"/>
      <c r="AP259" s="247"/>
      <c r="AQ259" s="247"/>
      <c r="AR259" s="247"/>
      <c r="AS259" s="247"/>
      <c r="AT259" s="247"/>
      <c r="AU259" s="247"/>
      <c r="AW259" s="116"/>
    </row>
    <row r="260" spans="39:49" ht="24" customHeight="1">
      <c r="AM260" s="247"/>
      <c r="AN260" s="247"/>
      <c r="AO260" s="247"/>
      <c r="AP260" s="247"/>
      <c r="AQ260" s="247"/>
      <c r="AR260" s="247"/>
      <c r="AS260" s="247"/>
      <c r="AT260" s="247"/>
      <c r="AU260" s="247"/>
      <c r="AW260" s="116"/>
    </row>
    <row r="261" spans="39:49" ht="13.5" customHeight="1">
      <c r="AM261" s="247"/>
      <c r="AN261" s="247"/>
      <c r="AO261" s="247"/>
      <c r="AP261" s="247"/>
      <c r="AQ261" s="247"/>
      <c r="AR261" s="247"/>
      <c r="AS261" s="247"/>
      <c r="AT261" s="247"/>
      <c r="AU261" s="247"/>
      <c r="AW261" s="116"/>
    </row>
    <row r="262" spans="39:49" ht="24" customHeight="1">
      <c r="AM262" s="247"/>
      <c r="AN262" s="247"/>
      <c r="AO262" s="247"/>
      <c r="AP262" s="247"/>
      <c r="AQ262" s="247"/>
      <c r="AR262" s="247"/>
      <c r="AS262" s="247"/>
      <c r="AT262" s="247"/>
      <c r="AU262" s="247"/>
      <c r="AW262" s="116"/>
    </row>
    <row r="263" spans="39:49" ht="13.5" customHeight="1">
      <c r="AM263" s="247"/>
      <c r="AN263" s="247"/>
      <c r="AO263" s="247"/>
      <c r="AP263" s="247"/>
      <c r="AQ263" s="247"/>
      <c r="AR263" s="247"/>
      <c r="AS263" s="247"/>
      <c r="AT263" s="247"/>
      <c r="AU263" s="247"/>
      <c r="AW263" s="116"/>
    </row>
    <row r="264" spans="39:49" ht="24" customHeight="1">
      <c r="AM264" s="247"/>
      <c r="AN264" s="247"/>
      <c r="AO264" s="247"/>
      <c r="AP264" s="247"/>
      <c r="AQ264" s="247"/>
      <c r="AR264" s="247"/>
      <c r="AS264" s="247"/>
      <c r="AT264" s="247"/>
      <c r="AU264" s="247"/>
      <c r="AW264" s="116"/>
    </row>
    <row r="265" spans="39:49" ht="13.5" customHeight="1">
      <c r="AM265" s="247"/>
      <c r="AN265" s="247"/>
      <c r="AO265" s="247"/>
      <c r="AP265" s="247"/>
      <c r="AQ265" s="247"/>
      <c r="AR265" s="247"/>
      <c r="AS265" s="247"/>
      <c r="AT265" s="247"/>
      <c r="AU265" s="247"/>
      <c r="AW265" s="116"/>
    </row>
    <row r="266" spans="39:49" ht="24" customHeight="1">
      <c r="AM266" s="247"/>
      <c r="AN266" s="247"/>
      <c r="AO266" s="247"/>
      <c r="AP266" s="247"/>
      <c r="AQ266" s="247"/>
      <c r="AR266" s="247"/>
      <c r="AS266" s="247"/>
      <c r="AT266" s="247"/>
      <c r="AU266" s="247"/>
      <c r="AW266" s="116"/>
    </row>
    <row r="267" spans="39:49" ht="13.5" customHeight="1">
      <c r="AM267" s="247"/>
      <c r="AN267" s="247"/>
      <c r="AO267" s="247"/>
      <c r="AP267" s="247"/>
      <c r="AQ267" s="247"/>
      <c r="AR267" s="247"/>
      <c r="AS267" s="247"/>
      <c r="AT267" s="247"/>
      <c r="AU267" s="247"/>
      <c r="AW267" s="116"/>
    </row>
    <row r="268" spans="39:49" ht="24" customHeight="1">
      <c r="AM268" s="247"/>
      <c r="AN268" s="247"/>
      <c r="AO268" s="247"/>
      <c r="AP268" s="247"/>
      <c r="AQ268" s="247"/>
      <c r="AR268" s="247"/>
      <c r="AS268" s="247"/>
      <c r="AT268" s="247"/>
      <c r="AU268" s="247"/>
      <c r="AW268" s="116"/>
    </row>
    <row r="269" spans="39:49" ht="13.5" customHeight="1">
      <c r="AM269" s="247"/>
      <c r="AN269" s="247"/>
      <c r="AO269" s="247"/>
      <c r="AP269" s="247"/>
      <c r="AQ269" s="247"/>
      <c r="AR269" s="247"/>
      <c r="AS269" s="247"/>
      <c r="AT269" s="247"/>
      <c r="AU269" s="247"/>
      <c r="AW269" s="116"/>
    </row>
    <row r="270" spans="39:49" ht="24" customHeight="1">
      <c r="AM270" s="247"/>
      <c r="AN270" s="247"/>
      <c r="AO270" s="247"/>
      <c r="AP270" s="247"/>
      <c r="AQ270" s="247"/>
      <c r="AR270" s="247"/>
      <c r="AS270" s="247"/>
      <c r="AT270" s="247"/>
      <c r="AU270" s="247"/>
      <c r="AW270" s="116"/>
    </row>
    <row r="271" spans="39:49" ht="13.5" customHeight="1">
      <c r="AM271" s="247"/>
      <c r="AN271" s="247"/>
      <c r="AO271" s="247"/>
      <c r="AP271" s="247"/>
      <c r="AQ271" s="247"/>
      <c r="AR271" s="247"/>
      <c r="AS271" s="247"/>
      <c r="AT271" s="247"/>
      <c r="AU271" s="247"/>
      <c r="AW271" s="116"/>
    </row>
    <row r="272" spans="39:49" ht="24" customHeight="1">
      <c r="AM272" s="247"/>
      <c r="AN272" s="247"/>
      <c r="AO272" s="247"/>
      <c r="AP272" s="247"/>
      <c r="AQ272" s="247"/>
      <c r="AR272" s="247"/>
      <c r="AS272" s="247"/>
      <c r="AT272" s="247"/>
      <c r="AU272" s="247"/>
      <c r="AW272" s="116"/>
    </row>
    <row r="273" spans="39:49" ht="13.5" customHeight="1">
      <c r="AM273" s="247"/>
      <c r="AN273" s="247"/>
      <c r="AO273" s="247"/>
      <c r="AP273" s="247"/>
      <c r="AQ273" s="247"/>
      <c r="AR273" s="247"/>
      <c r="AS273" s="247"/>
      <c r="AT273" s="247"/>
      <c r="AU273" s="247"/>
      <c r="AW273" s="116"/>
    </row>
    <row r="274" spans="39:49" ht="24" customHeight="1">
      <c r="AM274" s="247"/>
      <c r="AN274" s="247"/>
      <c r="AO274" s="247"/>
      <c r="AP274" s="247"/>
      <c r="AQ274" s="247"/>
      <c r="AR274" s="247"/>
      <c r="AS274" s="247"/>
      <c r="AT274" s="247"/>
      <c r="AU274" s="247"/>
      <c r="AW274" s="116"/>
    </row>
    <row r="275" spans="39:49" ht="13.5" customHeight="1">
      <c r="AM275" s="247"/>
      <c r="AN275" s="247"/>
      <c r="AO275" s="247"/>
      <c r="AP275" s="247"/>
      <c r="AQ275" s="247"/>
      <c r="AR275" s="247"/>
      <c r="AS275" s="247"/>
      <c r="AT275" s="247"/>
      <c r="AU275" s="247"/>
      <c r="AW275" s="116"/>
    </row>
    <row r="276" spans="39:49" ht="24" customHeight="1">
      <c r="AM276" s="247"/>
      <c r="AN276" s="247"/>
      <c r="AO276" s="247"/>
      <c r="AP276" s="247"/>
      <c r="AQ276" s="247"/>
      <c r="AR276" s="247"/>
      <c r="AS276" s="247"/>
      <c r="AT276" s="247"/>
      <c r="AU276" s="247"/>
      <c r="AW276" s="116"/>
    </row>
    <row r="277" spans="39:49" ht="13.5" customHeight="1">
      <c r="AM277" s="247"/>
      <c r="AN277" s="247"/>
      <c r="AO277" s="247"/>
      <c r="AP277" s="247"/>
      <c r="AQ277" s="247"/>
      <c r="AR277" s="247"/>
      <c r="AS277" s="247"/>
      <c r="AT277" s="247"/>
      <c r="AU277" s="247"/>
      <c r="AW277" s="116"/>
    </row>
    <row r="278" spans="39:49" ht="24" customHeight="1">
      <c r="AM278" s="247"/>
      <c r="AN278" s="247"/>
      <c r="AO278" s="247"/>
      <c r="AP278" s="247"/>
      <c r="AQ278" s="247"/>
      <c r="AR278" s="247"/>
      <c r="AS278" s="247"/>
      <c r="AT278" s="247"/>
      <c r="AU278" s="247"/>
      <c r="AW278" s="116"/>
    </row>
    <row r="279" spans="39:49" ht="13.5" customHeight="1">
      <c r="AM279" s="247"/>
      <c r="AN279" s="247"/>
      <c r="AO279" s="247"/>
      <c r="AP279" s="247"/>
      <c r="AQ279" s="247"/>
      <c r="AR279" s="247"/>
      <c r="AS279" s="247"/>
      <c r="AT279" s="247"/>
      <c r="AU279" s="247"/>
      <c r="AW279" s="116"/>
    </row>
    <row r="280" spans="39:49" ht="24" customHeight="1">
      <c r="AM280" s="247"/>
      <c r="AN280" s="247"/>
      <c r="AO280" s="247"/>
      <c r="AP280" s="247"/>
      <c r="AQ280" s="247"/>
      <c r="AR280" s="247"/>
      <c r="AS280" s="247"/>
      <c r="AT280" s="247"/>
      <c r="AU280" s="247"/>
      <c r="AW280" s="116"/>
    </row>
    <row r="281" spans="39:49" ht="13.5" customHeight="1">
      <c r="AM281" s="247"/>
      <c r="AN281" s="247"/>
      <c r="AO281" s="247"/>
      <c r="AP281" s="247"/>
      <c r="AQ281" s="247"/>
      <c r="AR281" s="247"/>
      <c r="AS281" s="247"/>
      <c r="AT281" s="247"/>
      <c r="AU281" s="247"/>
      <c r="AW281" s="116"/>
    </row>
    <row r="282" spans="39:49" ht="24" customHeight="1">
      <c r="AM282" s="247"/>
      <c r="AN282" s="247"/>
      <c r="AO282" s="247"/>
      <c r="AP282" s="247"/>
      <c r="AQ282" s="247"/>
      <c r="AR282" s="247"/>
      <c r="AS282" s="247"/>
      <c r="AT282" s="247"/>
      <c r="AU282" s="247"/>
      <c r="AW282" s="116"/>
    </row>
    <row r="283" spans="39:49" ht="13.5" customHeight="1">
      <c r="AM283" s="247"/>
      <c r="AN283" s="247"/>
      <c r="AO283" s="247"/>
      <c r="AP283" s="247"/>
      <c r="AQ283" s="247"/>
      <c r="AR283" s="247"/>
      <c r="AS283" s="247"/>
      <c r="AT283" s="247"/>
      <c r="AU283" s="247"/>
      <c r="AW283" s="116"/>
    </row>
    <row r="284" spans="39:49" ht="24" customHeight="1">
      <c r="AM284" s="247"/>
      <c r="AN284" s="247"/>
      <c r="AO284" s="247"/>
      <c r="AP284" s="247"/>
      <c r="AQ284" s="247"/>
      <c r="AR284" s="247"/>
      <c r="AS284" s="247"/>
      <c r="AT284" s="247"/>
      <c r="AU284" s="247"/>
      <c r="AW284" s="116"/>
    </row>
    <row r="285" spans="39:49" ht="13.5" customHeight="1">
      <c r="AM285" s="247"/>
      <c r="AN285" s="247"/>
      <c r="AO285" s="247"/>
      <c r="AP285" s="247"/>
      <c r="AQ285" s="247"/>
      <c r="AR285" s="247"/>
      <c r="AS285" s="247"/>
      <c r="AT285" s="247"/>
      <c r="AU285" s="247"/>
      <c r="AW285" s="116"/>
    </row>
    <row r="286" spans="39:49" ht="24" customHeight="1">
      <c r="AM286" s="247"/>
      <c r="AN286" s="247"/>
      <c r="AO286" s="247"/>
      <c r="AP286" s="247"/>
      <c r="AQ286" s="247"/>
      <c r="AR286" s="247"/>
      <c r="AS286" s="247"/>
      <c r="AT286" s="247"/>
      <c r="AU286" s="247"/>
      <c r="AW286" s="116"/>
    </row>
    <row r="287" spans="39:49" ht="13.5" customHeight="1">
      <c r="AM287" s="247"/>
      <c r="AN287" s="247"/>
      <c r="AO287" s="247"/>
      <c r="AP287" s="247"/>
      <c r="AQ287" s="247"/>
      <c r="AR287" s="247"/>
      <c r="AS287" s="247"/>
      <c r="AT287" s="247"/>
      <c r="AU287" s="247"/>
      <c r="AW287" s="116"/>
    </row>
    <row r="288" spans="39:49" ht="24" customHeight="1">
      <c r="AM288" s="247"/>
      <c r="AN288" s="247"/>
      <c r="AO288" s="247"/>
      <c r="AP288" s="247"/>
      <c r="AQ288" s="247"/>
      <c r="AR288" s="247"/>
      <c r="AS288" s="247"/>
      <c r="AT288" s="247"/>
      <c r="AU288" s="247"/>
      <c r="AW288" s="116"/>
    </row>
    <row r="289" spans="39:49" ht="13.5" customHeight="1">
      <c r="AM289" s="247"/>
      <c r="AN289" s="247"/>
      <c r="AO289" s="247"/>
      <c r="AP289" s="247"/>
      <c r="AQ289" s="247"/>
      <c r="AR289" s="247"/>
      <c r="AS289" s="247"/>
      <c r="AT289" s="247"/>
      <c r="AU289" s="247"/>
      <c r="AW289" s="116"/>
    </row>
    <row r="290" spans="39:49" ht="24" customHeight="1">
      <c r="AM290" s="247"/>
      <c r="AN290" s="247"/>
      <c r="AO290" s="247"/>
      <c r="AP290" s="247"/>
      <c r="AQ290" s="247"/>
      <c r="AR290" s="247"/>
      <c r="AS290" s="247"/>
      <c r="AT290" s="247"/>
      <c r="AU290" s="247"/>
      <c r="AW290" s="116"/>
    </row>
    <row r="291" spans="39:49" ht="13.5" customHeight="1">
      <c r="AM291" s="247"/>
      <c r="AN291" s="247"/>
      <c r="AO291" s="247"/>
      <c r="AP291" s="247"/>
      <c r="AQ291" s="247"/>
      <c r="AR291" s="247"/>
      <c r="AS291" s="247"/>
      <c r="AT291" s="247"/>
      <c r="AU291" s="247"/>
      <c r="AW291" s="116"/>
    </row>
    <row r="292" spans="39:49" ht="24" customHeight="1">
      <c r="AM292" s="247"/>
      <c r="AN292" s="247"/>
      <c r="AO292" s="247"/>
      <c r="AP292" s="247"/>
      <c r="AQ292" s="247"/>
      <c r="AR292" s="247"/>
      <c r="AS292" s="247"/>
      <c r="AT292" s="247"/>
      <c r="AU292" s="247"/>
      <c r="AW292" s="116"/>
    </row>
    <row r="293" spans="39:49" ht="13.5" customHeight="1">
      <c r="AM293" s="247"/>
      <c r="AN293" s="247"/>
      <c r="AO293" s="247"/>
      <c r="AP293" s="247"/>
      <c r="AQ293" s="247"/>
      <c r="AR293" s="247"/>
      <c r="AS293" s="247"/>
      <c r="AT293" s="247"/>
      <c r="AU293" s="247"/>
      <c r="AW293" s="116"/>
    </row>
    <row r="294" spans="39:49" ht="24" customHeight="1">
      <c r="AM294" s="247"/>
      <c r="AN294" s="247"/>
      <c r="AO294" s="247"/>
      <c r="AP294" s="247"/>
      <c r="AQ294" s="247"/>
      <c r="AR294" s="247"/>
      <c r="AS294" s="247"/>
      <c r="AT294" s="247"/>
      <c r="AU294" s="247"/>
      <c r="AW294" s="116"/>
    </row>
    <row r="295" spans="39:49" ht="13.5" customHeight="1">
      <c r="AM295" s="247"/>
      <c r="AN295" s="247"/>
      <c r="AO295" s="247"/>
      <c r="AP295" s="247"/>
      <c r="AQ295" s="247"/>
      <c r="AR295" s="247"/>
      <c r="AS295" s="247"/>
      <c r="AT295" s="247"/>
      <c r="AU295" s="247"/>
      <c r="AW295" s="116"/>
    </row>
    <row r="296" spans="39:49" ht="24" customHeight="1">
      <c r="AM296" s="247"/>
      <c r="AN296" s="247"/>
      <c r="AO296" s="247"/>
      <c r="AP296" s="247"/>
      <c r="AQ296" s="247"/>
      <c r="AR296" s="247"/>
      <c r="AS296" s="247"/>
      <c r="AT296" s="247"/>
      <c r="AU296" s="247"/>
      <c r="AW296" s="116"/>
    </row>
    <row r="297" spans="39:49" ht="13.5" customHeight="1">
      <c r="AM297" s="247"/>
      <c r="AN297" s="247"/>
      <c r="AO297" s="247"/>
      <c r="AP297" s="247"/>
      <c r="AQ297" s="247"/>
      <c r="AR297" s="247"/>
      <c r="AS297" s="247"/>
      <c r="AT297" s="247"/>
      <c r="AU297" s="247"/>
      <c r="AW297" s="116"/>
    </row>
    <row r="298" spans="39:49" ht="24" customHeight="1">
      <c r="AM298" s="247"/>
      <c r="AN298" s="247"/>
      <c r="AO298" s="247"/>
      <c r="AP298" s="247"/>
      <c r="AQ298" s="247"/>
      <c r="AR298" s="247"/>
      <c r="AS298" s="247"/>
      <c r="AT298" s="247"/>
      <c r="AU298" s="247"/>
      <c r="AW298" s="116"/>
    </row>
    <row r="299" spans="39:49" ht="13.5" customHeight="1">
      <c r="AM299" s="247"/>
      <c r="AN299" s="247"/>
      <c r="AO299" s="247"/>
      <c r="AP299" s="247"/>
      <c r="AQ299" s="247"/>
      <c r="AR299" s="247"/>
      <c r="AS299" s="247"/>
      <c r="AT299" s="247"/>
      <c r="AU299" s="247"/>
      <c r="AW299" s="116"/>
    </row>
    <row r="300" spans="39:49" ht="24" customHeight="1">
      <c r="AM300" s="247"/>
      <c r="AN300" s="247"/>
      <c r="AO300" s="247"/>
      <c r="AP300" s="247"/>
      <c r="AQ300" s="247"/>
      <c r="AR300" s="247"/>
      <c r="AS300" s="247"/>
      <c r="AT300" s="247"/>
      <c r="AU300" s="247"/>
      <c r="AW300" s="116"/>
    </row>
    <row r="301" spans="39:49" ht="13.5" customHeight="1">
      <c r="AM301" s="247"/>
      <c r="AN301" s="247"/>
      <c r="AO301" s="247"/>
      <c r="AP301" s="247"/>
      <c r="AQ301" s="247"/>
      <c r="AR301" s="247"/>
      <c r="AS301" s="247"/>
      <c r="AT301" s="247"/>
      <c r="AU301" s="247"/>
      <c r="AW301" s="116"/>
    </row>
    <row r="302" spans="39:49" ht="24" customHeight="1">
      <c r="AM302" s="247"/>
      <c r="AN302" s="247"/>
      <c r="AO302" s="247"/>
      <c r="AP302" s="247"/>
      <c r="AQ302" s="247"/>
      <c r="AR302" s="247"/>
      <c r="AS302" s="247"/>
      <c r="AT302" s="247"/>
      <c r="AU302" s="247"/>
      <c r="AW302" s="116"/>
    </row>
    <row r="303" spans="39:49" ht="13.5" customHeight="1">
      <c r="AM303" s="247"/>
      <c r="AN303" s="247"/>
      <c r="AO303" s="247"/>
      <c r="AP303" s="247"/>
      <c r="AQ303" s="247"/>
      <c r="AR303" s="247"/>
      <c r="AS303" s="247"/>
      <c r="AT303" s="247"/>
      <c r="AU303" s="247"/>
      <c r="AW303" s="116"/>
    </row>
    <row r="304" spans="39:49" ht="24" customHeight="1">
      <c r="AM304" s="247"/>
      <c r="AN304" s="247"/>
      <c r="AO304" s="247"/>
      <c r="AP304" s="247"/>
      <c r="AQ304" s="247"/>
      <c r="AR304" s="247"/>
      <c r="AS304" s="247"/>
      <c r="AT304" s="247"/>
      <c r="AU304" s="247"/>
      <c r="AW304" s="116"/>
    </row>
    <row r="305" spans="39:49" ht="13.5" customHeight="1">
      <c r="AM305" s="247"/>
      <c r="AN305" s="247"/>
      <c r="AO305" s="247"/>
      <c r="AP305" s="247"/>
      <c r="AQ305" s="247"/>
      <c r="AR305" s="247"/>
      <c r="AS305" s="247"/>
      <c r="AT305" s="247"/>
      <c r="AU305" s="247"/>
      <c r="AW305" s="116"/>
    </row>
    <row r="306" spans="39:49" ht="24" customHeight="1">
      <c r="AM306" s="247"/>
      <c r="AN306" s="247"/>
      <c r="AO306" s="247"/>
      <c r="AP306" s="247"/>
      <c r="AQ306" s="247"/>
      <c r="AR306" s="247"/>
      <c r="AS306" s="247"/>
      <c r="AT306" s="247"/>
      <c r="AU306" s="247"/>
      <c r="AW306" s="116"/>
    </row>
    <row r="307" spans="39:49" ht="13.5" customHeight="1">
      <c r="AM307" s="247"/>
      <c r="AN307" s="247"/>
      <c r="AO307" s="247"/>
      <c r="AP307" s="247"/>
      <c r="AQ307" s="247"/>
      <c r="AR307" s="247"/>
      <c r="AS307" s="247"/>
      <c r="AT307" s="247"/>
      <c r="AU307" s="247"/>
      <c r="AW307" s="116"/>
    </row>
    <row r="308" spans="39:49" ht="24" customHeight="1">
      <c r="AM308" s="247"/>
      <c r="AN308" s="247"/>
      <c r="AO308" s="247"/>
      <c r="AP308" s="247"/>
      <c r="AQ308" s="247"/>
      <c r="AR308" s="247"/>
      <c r="AS308" s="247"/>
      <c r="AT308" s="247"/>
      <c r="AU308" s="247"/>
      <c r="AW308" s="116"/>
    </row>
    <row r="309" spans="39:49" ht="13.5" customHeight="1">
      <c r="AM309" s="247"/>
      <c r="AN309" s="247"/>
      <c r="AO309" s="247"/>
      <c r="AP309" s="247"/>
      <c r="AQ309" s="247"/>
      <c r="AR309" s="247"/>
      <c r="AS309" s="247"/>
      <c r="AT309" s="247"/>
      <c r="AU309" s="247"/>
      <c r="AW309" s="116"/>
    </row>
    <row r="310" spans="39:49" ht="24" customHeight="1">
      <c r="AM310" s="247"/>
      <c r="AN310" s="247"/>
      <c r="AO310" s="247"/>
      <c r="AP310" s="247"/>
      <c r="AQ310" s="247"/>
      <c r="AR310" s="247"/>
      <c r="AS310" s="247"/>
      <c r="AT310" s="247"/>
      <c r="AU310" s="247"/>
      <c r="AW310" s="116"/>
    </row>
    <row r="311" spans="39:49" ht="13.5" customHeight="1">
      <c r="AM311" s="247"/>
      <c r="AN311" s="247"/>
      <c r="AO311" s="247"/>
      <c r="AP311" s="247"/>
      <c r="AQ311" s="247"/>
      <c r="AR311" s="247"/>
      <c r="AS311" s="247"/>
      <c r="AT311" s="247"/>
      <c r="AU311" s="247"/>
      <c r="AW311" s="116"/>
    </row>
    <row r="312" spans="39:49" ht="24" customHeight="1">
      <c r="AM312" s="247"/>
      <c r="AN312" s="247"/>
      <c r="AO312" s="247"/>
      <c r="AP312" s="247"/>
      <c r="AQ312" s="247"/>
      <c r="AR312" s="247"/>
      <c r="AS312" s="247"/>
      <c r="AT312" s="247"/>
      <c r="AU312" s="247"/>
      <c r="AW312" s="116"/>
    </row>
    <row r="313" spans="39:49" ht="13.5" customHeight="1">
      <c r="AM313" s="247"/>
      <c r="AN313" s="247"/>
      <c r="AO313" s="247"/>
      <c r="AP313" s="247"/>
      <c r="AQ313" s="247"/>
      <c r="AR313" s="247"/>
      <c r="AS313" s="247"/>
      <c r="AT313" s="247"/>
      <c r="AU313" s="247"/>
      <c r="AW313" s="116"/>
    </row>
    <row r="314" spans="39:49" ht="24" customHeight="1">
      <c r="AM314" s="247"/>
      <c r="AN314" s="247"/>
      <c r="AO314" s="247"/>
      <c r="AP314" s="247"/>
      <c r="AQ314" s="247"/>
      <c r="AR314" s="247"/>
      <c r="AS314" s="247"/>
      <c r="AT314" s="247"/>
      <c r="AU314" s="247"/>
      <c r="AW314" s="116"/>
    </row>
    <row r="315" spans="39:49" ht="13.5" customHeight="1">
      <c r="AM315" s="247"/>
      <c r="AN315" s="247"/>
      <c r="AO315" s="247"/>
      <c r="AP315" s="247"/>
      <c r="AQ315" s="247"/>
      <c r="AR315" s="247"/>
      <c r="AS315" s="247"/>
      <c r="AT315" s="247"/>
      <c r="AU315" s="247"/>
      <c r="AW315" s="116"/>
    </row>
    <row r="316" spans="39:49" ht="24" customHeight="1">
      <c r="AM316" s="247"/>
      <c r="AN316" s="247"/>
      <c r="AO316" s="247"/>
      <c r="AP316" s="247"/>
      <c r="AQ316" s="247"/>
      <c r="AR316" s="247"/>
      <c r="AS316" s="247"/>
      <c r="AT316" s="247"/>
      <c r="AU316" s="247"/>
      <c r="AW316" s="116"/>
    </row>
    <row r="317" spans="39:49" ht="13.5" customHeight="1">
      <c r="AM317" s="247"/>
      <c r="AN317" s="247"/>
      <c r="AO317" s="247"/>
      <c r="AP317" s="247"/>
      <c r="AQ317" s="247"/>
      <c r="AR317" s="247"/>
      <c r="AS317" s="247"/>
      <c r="AT317" s="247"/>
      <c r="AU317" s="247"/>
      <c r="AW317" s="116"/>
    </row>
    <row r="318" spans="39:49" ht="24" customHeight="1">
      <c r="AM318" s="247"/>
      <c r="AN318" s="247"/>
      <c r="AO318" s="247"/>
      <c r="AP318" s="247"/>
      <c r="AQ318" s="247"/>
      <c r="AR318" s="247"/>
      <c r="AS318" s="247"/>
      <c r="AT318" s="247"/>
      <c r="AU318" s="247"/>
      <c r="AW318" s="116"/>
    </row>
    <row r="319" spans="39:49" ht="13.5" customHeight="1">
      <c r="AM319" s="247"/>
      <c r="AN319" s="247"/>
      <c r="AO319" s="247"/>
      <c r="AP319" s="247"/>
      <c r="AQ319" s="247"/>
      <c r="AR319" s="247"/>
      <c r="AS319" s="247"/>
      <c r="AT319" s="247"/>
      <c r="AU319" s="247"/>
      <c r="AW319" s="116"/>
    </row>
    <row r="320" spans="39:49" ht="24" customHeight="1">
      <c r="AM320" s="247"/>
      <c r="AN320" s="247"/>
      <c r="AO320" s="247"/>
      <c r="AP320" s="247"/>
      <c r="AQ320" s="247"/>
      <c r="AR320" s="247"/>
      <c r="AS320" s="247"/>
      <c r="AT320" s="247"/>
      <c r="AU320" s="247"/>
      <c r="AW320" s="116"/>
    </row>
    <row r="321" spans="39:49" ht="13.5" customHeight="1">
      <c r="AM321" s="247"/>
      <c r="AN321" s="247"/>
      <c r="AO321" s="247"/>
      <c r="AP321" s="247"/>
      <c r="AQ321" s="247"/>
      <c r="AR321" s="247"/>
      <c r="AS321" s="247"/>
      <c r="AT321" s="247"/>
      <c r="AU321" s="247"/>
      <c r="AW321" s="116"/>
    </row>
    <row r="322" spans="39:49" ht="24" customHeight="1">
      <c r="AM322" s="247"/>
      <c r="AN322" s="247"/>
      <c r="AO322" s="247"/>
      <c r="AP322" s="247"/>
      <c r="AQ322" s="247"/>
      <c r="AR322" s="247"/>
      <c r="AS322" s="247"/>
      <c r="AT322" s="247"/>
      <c r="AU322" s="247"/>
      <c r="AW322" s="116"/>
    </row>
    <row r="323" spans="39:49" ht="13.5" customHeight="1">
      <c r="AM323" s="247"/>
      <c r="AN323" s="247"/>
      <c r="AO323" s="247"/>
      <c r="AP323" s="247"/>
      <c r="AQ323" s="247"/>
      <c r="AR323" s="247"/>
      <c r="AS323" s="247"/>
      <c r="AT323" s="247"/>
      <c r="AU323" s="247"/>
      <c r="AW323" s="116"/>
    </row>
    <row r="324" spans="39:49" ht="24" customHeight="1">
      <c r="AM324" s="247"/>
      <c r="AN324" s="247"/>
      <c r="AO324" s="247"/>
      <c r="AP324" s="247"/>
      <c r="AQ324" s="247"/>
      <c r="AR324" s="247"/>
      <c r="AS324" s="247"/>
      <c r="AT324" s="247"/>
      <c r="AU324" s="247"/>
      <c r="AW324" s="116"/>
    </row>
    <row r="325" spans="39:49" ht="13.5" customHeight="1">
      <c r="AM325" s="247"/>
      <c r="AN325" s="247"/>
      <c r="AO325" s="247"/>
      <c r="AP325" s="247"/>
      <c r="AQ325" s="247"/>
      <c r="AR325" s="247"/>
      <c r="AS325" s="247"/>
      <c r="AT325" s="247"/>
      <c r="AU325" s="247"/>
      <c r="AW325" s="116"/>
    </row>
    <row r="326" spans="39:49" ht="24" customHeight="1">
      <c r="AM326" s="247"/>
      <c r="AN326" s="247"/>
      <c r="AO326" s="247"/>
      <c r="AP326" s="247"/>
      <c r="AQ326" s="247"/>
      <c r="AR326" s="247"/>
      <c r="AS326" s="247"/>
      <c r="AT326" s="247"/>
      <c r="AU326" s="247"/>
      <c r="AW326" s="116"/>
    </row>
    <row r="327" spans="39:49" ht="13.5" customHeight="1">
      <c r="AM327" s="247"/>
      <c r="AN327" s="247"/>
      <c r="AO327" s="247"/>
      <c r="AP327" s="247"/>
      <c r="AQ327" s="247"/>
      <c r="AR327" s="247"/>
      <c r="AS327" s="247"/>
      <c r="AT327" s="247"/>
      <c r="AU327" s="247"/>
      <c r="AW327" s="116"/>
    </row>
    <row r="328" spans="39:49" ht="24" customHeight="1">
      <c r="AM328" s="247"/>
      <c r="AN328" s="247"/>
      <c r="AO328" s="247"/>
      <c r="AP328" s="247"/>
      <c r="AQ328" s="247"/>
      <c r="AR328" s="247"/>
      <c r="AS328" s="247"/>
      <c r="AT328" s="247"/>
      <c r="AU328" s="247"/>
      <c r="AW328" s="116"/>
    </row>
    <row r="329" spans="39:49" ht="13.5" customHeight="1">
      <c r="AM329" s="247"/>
      <c r="AN329" s="247"/>
      <c r="AO329" s="247"/>
      <c r="AP329" s="247"/>
      <c r="AQ329" s="247"/>
      <c r="AR329" s="247"/>
      <c r="AS329" s="247"/>
      <c r="AT329" s="247"/>
      <c r="AU329" s="247"/>
      <c r="AW329" s="116"/>
    </row>
    <row r="330" spans="39:49" ht="24" customHeight="1">
      <c r="AM330" s="247"/>
      <c r="AN330" s="247"/>
      <c r="AO330" s="247"/>
      <c r="AP330" s="247"/>
      <c r="AQ330" s="247"/>
      <c r="AR330" s="247"/>
      <c r="AS330" s="247"/>
      <c r="AT330" s="247"/>
      <c r="AU330" s="247"/>
      <c r="AW330" s="116"/>
    </row>
    <row r="331" spans="39:49" ht="13.5" customHeight="1">
      <c r="AM331" s="247"/>
      <c r="AN331" s="247"/>
      <c r="AO331" s="247"/>
      <c r="AP331" s="247"/>
      <c r="AQ331" s="247"/>
      <c r="AR331" s="247"/>
      <c r="AS331" s="247"/>
      <c r="AT331" s="247"/>
      <c r="AU331" s="247"/>
      <c r="AW331" s="116"/>
    </row>
    <row r="332" spans="39:49" ht="24" customHeight="1">
      <c r="AM332" s="247"/>
      <c r="AN332" s="247"/>
      <c r="AO332" s="247"/>
      <c r="AP332" s="247"/>
      <c r="AQ332" s="247"/>
      <c r="AR332" s="247"/>
      <c r="AS332" s="247"/>
      <c r="AT332" s="247"/>
      <c r="AU332" s="247"/>
      <c r="AW332" s="116"/>
    </row>
    <row r="333" spans="39:49" ht="13.5" customHeight="1">
      <c r="AM333" s="247"/>
      <c r="AN333" s="247"/>
      <c r="AO333" s="247"/>
      <c r="AP333" s="247"/>
      <c r="AQ333" s="247"/>
      <c r="AR333" s="247"/>
      <c r="AS333" s="247"/>
      <c r="AT333" s="247"/>
      <c r="AU333" s="247"/>
      <c r="AW333" s="116"/>
    </row>
    <row r="334" spans="39:49" ht="24" customHeight="1">
      <c r="AM334" s="247"/>
      <c r="AN334" s="247"/>
      <c r="AO334" s="247"/>
      <c r="AP334" s="247"/>
      <c r="AQ334" s="247"/>
      <c r="AR334" s="247"/>
      <c r="AS334" s="247"/>
      <c r="AT334" s="247"/>
      <c r="AU334" s="247"/>
      <c r="AW334" s="116"/>
    </row>
    <row r="335" spans="39:49" ht="13.5" customHeight="1">
      <c r="AM335" s="247"/>
      <c r="AN335" s="247"/>
      <c r="AO335" s="247"/>
      <c r="AP335" s="247"/>
      <c r="AQ335" s="247"/>
      <c r="AR335" s="247"/>
      <c r="AS335" s="247"/>
      <c r="AT335" s="247"/>
      <c r="AU335" s="247"/>
      <c r="AW335" s="116"/>
    </row>
    <row r="336" spans="39:49" ht="24" customHeight="1">
      <c r="AM336" s="247"/>
      <c r="AN336" s="247"/>
      <c r="AO336" s="247"/>
      <c r="AP336" s="247"/>
      <c r="AQ336" s="247"/>
      <c r="AR336" s="247"/>
      <c r="AS336" s="247"/>
      <c r="AT336" s="247"/>
      <c r="AU336" s="247"/>
      <c r="AW336" s="116"/>
    </row>
    <row r="337" spans="39:49" ht="13.5" customHeight="1">
      <c r="AM337" s="247"/>
      <c r="AN337" s="247"/>
      <c r="AO337" s="247"/>
      <c r="AP337" s="247"/>
      <c r="AQ337" s="247"/>
      <c r="AR337" s="247"/>
      <c r="AS337" s="247"/>
      <c r="AT337" s="247"/>
      <c r="AU337" s="247"/>
      <c r="AW337" s="116"/>
    </row>
    <row r="338" spans="39:49" ht="24" customHeight="1">
      <c r="AM338" s="247"/>
      <c r="AN338" s="247"/>
      <c r="AO338" s="247"/>
      <c r="AP338" s="247"/>
      <c r="AQ338" s="247"/>
      <c r="AR338" s="247"/>
      <c r="AS338" s="247"/>
      <c r="AT338" s="247"/>
      <c r="AU338" s="247"/>
      <c r="AW338" s="116"/>
    </row>
    <row r="339" spans="39:49" ht="13.5" customHeight="1">
      <c r="AM339" s="247"/>
      <c r="AN339" s="247"/>
      <c r="AO339" s="247"/>
      <c r="AP339" s="247"/>
      <c r="AQ339" s="247"/>
      <c r="AR339" s="247"/>
      <c r="AS339" s="247"/>
      <c r="AT339" s="247"/>
      <c r="AU339" s="247"/>
      <c r="AW339" s="116"/>
    </row>
    <row r="340" spans="39:49" ht="24" customHeight="1">
      <c r="AM340" s="247"/>
      <c r="AN340" s="247"/>
      <c r="AO340" s="247"/>
      <c r="AP340" s="247"/>
      <c r="AQ340" s="247"/>
      <c r="AR340" s="247"/>
      <c r="AS340" s="247"/>
      <c r="AT340" s="247"/>
      <c r="AU340" s="247"/>
      <c r="AW340" s="116"/>
    </row>
    <row r="341" spans="39:49" ht="13.5" customHeight="1">
      <c r="AM341" s="247"/>
      <c r="AN341" s="247"/>
      <c r="AO341" s="247"/>
      <c r="AP341" s="247"/>
      <c r="AQ341" s="247"/>
      <c r="AR341" s="247"/>
      <c r="AS341" s="247"/>
      <c r="AT341" s="247"/>
      <c r="AU341" s="247"/>
      <c r="AW341" s="116"/>
    </row>
    <row r="342" spans="39:49" ht="24" customHeight="1">
      <c r="AM342" s="247"/>
      <c r="AN342" s="247"/>
      <c r="AO342" s="247"/>
      <c r="AP342" s="247"/>
      <c r="AQ342" s="247"/>
      <c r="AR342" s="247"/>
      <c r="AS342" s="247"/>
      <c r="AT342" s="247"/>
      <c r="AU342" s="247"/>
      <c r="AW342" s="116"/>
    </row>
    <row r="343" spans="39:49" ht="13.5" customHeight="1">
      <c r="AM343" s="247"/>
      <c r="AN343" s="247"/>
      <c r="AO343" s="247"/>
      <c r="AP343" s="247"/>
      <c r="AQ343" s="247"/>
      <c r="AR343" s="247"/>
      <c r="AS343" s="247"/>
      <c r="AT343" s="247"/>
      <c r="AU343" s="247"/>
      <c r="AW343" s="116"/>
    </row>
    <row r="344" spans="39:49" ht="24" customHeight="1">
      <c r="AM344" s="247"/>
      <c r="AN344" s="247"/>
      <c r="AO344" s="247"/>
      <c r="AP344" s="247"/>
      <c r="AQ344" s="247"/>
      <c r="AR344" s="247"/>
      <c r="AS344" s="247"/>
      <c r="AT344" s="247"/>
      <c r="AU344" s="247"/>
      <c r="AW344" s="116"/>
    </row>
    <row r="345" spans="39:49" ht="13.5" customHeight="1">
      <c r="AM345" s="247"/>
      <c r="AN345" s="247"/>
      <c r="AO345" s="247"/>
      <c r="AP345" s="247"/>
      <c r="AQ345" s="247"/>
      <c r="AR345" s="247"/>
      <c r="AS345" s="247"/>
      <c r="AT345" s="247"/>
      <c r="AU345" s="247"/>
      <c r="AW345" s="116"/>
    </row>
    <row r="346" spans="39:49" ht="24" customHeight="1">
      <c r="AM346" s="247"/>
      <c r="AN346" s="247"/>
      <c r="AO346" s="247"/>
      <c r="AP346" s="247"/>
      <c r="AQ346" s="247"/>
      <c r="AR346" s="247"/>
      <c r="AS346" s="247"/>
      <c r="AT346" s="247"/>
      <c r="AU346" s="247"/>
      <c r="AW346" s="116"/>
    </row>
    <row r="347" spans="39:49" ht="13.5" customHeight="1">
      <c r="AM347" s="247"/>
      <c r="AN347" s="247"/>
      <c r="AO347" s="247"/>
      <c r="AP347" s="247"/>
      <c r="AQ347" s="247"/>
      <c r="AR347" s="247"/>
      <c r="AS347" s="247"/>
      <c r="AT347" s="247"/>
      <c r="AU347" s="247"/>
      <c r="AW347" s="116"/>
    </row>
    <row r="348" spans="39:49" ht="24" customHeight="1">
      <c r="AM348" s="247"/>
      <c r="AN348" s="247"/>
      <c r="AO348" s="247"/>
      <c r="AP348" s="247"/>
      <c r="AQ348" s="247"/>
      <c r="AR348" s="247"/>
      <c r="AS348" s="247"/>
      <c r="AT348" s="247"/>
      <c r="AU348" s="247"/>
      <c r="AW348" s="116"/>
    </row>
    <row r="349" spans="39:49" ht="13.5" customHeight="1">
      <c r="AM349" s="247"/>
      <c r="AN349" s="247"/>
      <c r="AO349" s="247"/>
      <c r="AP349" s="247"/>
      <c r="AQ349" s="247"/>
      <c r="AR349" s="247"/>
      <c r="AS349" s="247"/>
      <c r="AT349" s="247"/>
      <c r="AU349" s="247"/>
      <c r="AW349" s="116"/>
    </row>
    <row r="350" spans="39:49" ht="24" customHeight="1">
      <c r="AM350" s="247"/>
      <c r="AN350" s="247"/>
      <c r="AO350" s="247"/>
      <c r="AP350" s="247"/>
      <c r="AQ350" s="247"/>
      <c r="AR350" s="247"/>
      <c r="AS350" s="247"/>
      <c r="AT350" s="247"/>
      <c r="AU350" s="247"/>
      <c r="AW350" s="116"/>
    </row>
    <row r="351" spans="39:49" ht="13.5" customHeight="1">
      <c r="AM351" s="247"/>
      <c r="AN351" s="247"/>
      <c r="AO351" s="247"/>
      <c r="AP351" s="247"/>
      <c r="AQ351" s="247"/>
      <c r="AR351" s="247"/>
      <c r="AS351" s="247"/>
      <c r="AT351" s="247"/>
      <c r="AU351" s="247"/>
      <c r="AW351" s="116"/>
    </row>
    <row r="352" spans="39:49" ht="24" customHeight="1">
      <c r="AM352" s="247"/>
      <c r="AN352" s="247"/>
      <c r="AO352" s="247"/>
      <c r="AP352" s="247"/>
      <c r="AQ352" s="247"/>
      <c r="AR352" s="247"/>
      <c r="AS352" s="247"/>
      <c r="AT352" s="247"/>
      <c r="AU352" s="247"/>
      <c r="AW352" s="116"/>
    </row>
    <row r="353" spans="39:49" ht="13.5" customHeight="1">
      <c r="AM353" s="247"/>
      <c r="AN353" s="247"/>
      <c r="AO353" s="247"/>
      <c r="AP353" s="247"/>
      <c r="AQ353" s="247"/>
      <c r="AR353" s="247"/>
      <c r="AS353" s="247"/>
      <c r="AT353" s="247"/>
      <c r="AU353" s="247"/>
      <c r="AW353" s="116"/>
    </row>
    <row r="354" spans="39:49" ht="24" customHeight="1">
      <c r="AM354" s="247"/>
      <c r="AN354" s="247"/>
      <c r="AO354" s="247"/>
      <c r="AP354" s="247"/>
      <c r="AQ354" s="247"/>
      <c r="AR354" s="247"/>
      <c r="AS354" s="247"/>
      <c r="AT354" s="247"/>
      <c r="AU354" s="247"/>
      <c r="AW354" s="116"/>
    </row>
    <row r="355" spans="39:49" ht="13.5" customHeight="1">
      <c r="AM355" s="247"/>
      <c r="AN355" s="247"/>
      <c r="AO355" s="247"/>
      <c r="AP355" s="247"/>
      <c r="AQ355" s="247"/>
      <c r="AR355" s="247"/>
      <c r="AS355" s="247"/>
      <c r="AT355" s="247"/>
      <c r="AU355" s="247"/>
      <c r="AW355" s="116"/>
    </row>
    <row r="356" spans="39:49" ht="24" customHeight="1">
      <c r="AM356" s="247"/>
      <c r="AN356" s="247"/>
      <c r="AO356" s="247"/>
      <c r="AP356" s="247"/>
      <c r="AQ356" s="247"/>
      <c r="AR356" s="247"/>
      <c r="AS356" s="247"/>
      <c r="AT356" s="247"/>
      <c r="AU356" s="247"/>
      <c r="AW356" s="116"/>
    </row>
    <row r="357" spans="39:49" ht="13.5" customHeight="1">
      <c r="AM357" s="247"/>
      <c r="AN357" s="247"/>
      <c r="AO357" s="247"/>
      <c r="AP357" s="247"/>
      <c r="AQ357" s="247"/>
      <c r="AR357" s="247"/>
      <c r="AS357" s="247"/>
      <c r="AT357" s="247"/>
      <c r="AU357" s="247"/>
      <c r="AW357" s="116"/>
    </row>
    <row r="358" spans="39:49" ht="24" customHeight="1">
      <c r="AM358" s="247"/>
      <c r="AN358" s="247"/>
      <c r="AO358" s="247"/>
      <c r="AP358" s="247"/>
      <c r="AQ358" s="247"/>
      <c r="AR358" s="247"/>
      <c r="AS358" s="247"/>
      <c r="AT358" s="247"/>
      <c r="AU358" s="247"/>
      <c r="AW358" s="116"/>
    </row>
    <row r="359" spans="39:49" ht="13.5" customHeight="1">
      <c r="AM359" s="247"/>
      <c r="AN359" s="247"/>
      <c r="AO359" s="247"/>
      <c r="AP359" s="247"/>
      <c r="AQ359" s="247"/>
      <c r="AR359" s="247"/>
      <c r="AS359" s="247"/>
      <c r="AT359" s="247"/>
      <c r="AU359" s="247"/>
      <c r="AW359" s="116"/>
    </row>
    <row r="360" spans="39:49" ht="24" customHeight="1">
      <c r="AM360" s="247"/>
      <c r="AN360" s="247"/>
      <c r="AO360" s="247"/>
      <c r="AP360" s="247"/>
      <c r="AQ360" s="247"/>
      <c r="AR360" s="247"/>
      <c r="AS360" s="247"/>
      <c r="AT360" s="247"/>
      <c r="AU360" s="247"/>
      <c r="AW360" s="116"/>
    </row>
    <row r="361" spans="39:49" ht="13.5" customHeight="1">
      <c r="AM361" s="247"/>
      <c r="AN361" s="247"/>
      <c r="AO361" s="247"/>
      <c r="AP361" s="247"/>
      <c r="AQ361" s="247"/>
      <c r="AR361" s="247"/>
      <c r="AS361" s="247"/>
      <c r="AT361" s="247"/>
      <c r="AU361" s="247"/>
      <c r="AW361" s="116"/>
    </row>
    <row r="362" spans="39:49" ht="24" customHeight="1">
      <c r="AM362" s="247"/>
      <c r="AN362" s="247"/>
      <c r="AO362" s="247"/>
      <c r="AP362" s="247"/>
      <c r="AQ362" s="247"/>
      <c r="AR362" s="247"/>
      <c r="AS362" s="247"/>
      <c r="AT362" s="247"/>
      <c r="AU362" s="247"/>
      <c r="AW362" s="116"/>
    </row>
    <row r="363" spans="39:49" ht="13.5" customHeight="1">
      <c r="AM363" s="247"/>
      <c r="AN363" s="247"/>
      <c r="AO363" s="247"/>
      <c r="AP363" s="247"/>
      <c r="AQ363" s="247"/>
      <c r="AR363" s="247"/>
      <c r="AS363" s="247"/>
      <c r="AT363" s="247"/>
      <c r="AU363" s="247"/>
      <c r="AW363" s="116"/>
    </row>
    <row r="364" spans="39:49" ht="24" customHeight="1">
      <c r="AM364" s="247"/>
      <c r="AN364" s="247"/>
      <c r="AO364" s="247"/>
      <c r="AP364" s="247"/>
      <c r="AQ364" s="247"/>
      <c r="AR364" s="247"/>
      <c r="AS364" s="247"/>
      <c r="AT364" s="247"/>
      <c r="AU364" s="247"/>
      <c r="AW364" s="116"/>
    </row>
    <row r="365" spans="39:49" ht="13.5" customHeight="1">
      <c r="AM365" s="247"/>
      <c r="AN365" s="247"/>
      <c r="AO365" s="247"/>
      <c r="AP365" s="247"/>
      <c r="AQ365" s="247"/>
      <c r="AR365" s="247"/>
      <c r="AS365" s="247"/>
      <c r="AT365" s="247"/>
      <c r="AU365" s="247"/>
      <c r="AW365" s="116"/>
    </row>
    <row r="366" spans="39:49" ht="24" customHeight="1">
      <c r="AM366" s="247"/>
      <c r="AN366" s="247"/>
      <c r="AO366" s="247"/>
      <c r="AP366" s="247"/>
      <c r="AQ366" s="247"/>
      <c r="AR366" s="247"/>
      <c r="AS366" s="247"/>
      <c r="AT366" s="247"/>
      <c r="AU366" s="247"/>
      <c r="AW366" s="116"/>
    </row>
    <row r="367" spans="39:49" ht="13.5" customHeight="1">
      <c r="AM367" s="247"/>
      <c r="AN367" s="247"/>
      <c r="AO367" s="247"/>
      <c r="AP367" s="247"/>
      <c r="AQ367" s="247"/>
      <c r="AR367" s="247"/>
      <c r="AS367" s="247"/>
      <c r="AT367" s="247"/>
      <c r="AU367" s="247"/>
      <c r="AW367" s="116"/>
    </row>
    <row r="368" spans="39:49" ht="24" customHeight="1">
      <c r="AM368" s="247"/>
      <c r="AN368" s="247"/>
      <c r="AO368" s="247"/>
      <c r="AP368" s="247"/>
      <c r="AQ368" s="247"/>
      <c r="AR368" s="247"/>
      <c r="AS368" s="247"/>
      <c r="AT368" s="247"/>
      <c r="AU368" s="247"/>
      <c r="AW368" s="116"/>
    </row>
    <row r="369" spans="39:49" ht="13.5" customHeight="1">
      <c r="AM369" s="247"/>
      <c r="AN369" s="247"/>
      <c r="AO369" s="247"/>
      <c r="AP369" s="247"/>
      <c r="AQ369" s="247"/>
      <c r="AR369" s="247"/>
      <c r="AS369" s="247"/>
      <c r="AT369" s="247"/>
      <c r="AU369" s="247"/>
      <c r="AW369" s="116"/>
    </row>
    <row r="370" spans="39:49" ht="24" customHeight="1">
      <c r="AM370" s="247"/>
      <c r="AN370" s="247"/>
      <c r="AO370" s="247"/>
      <c r="AP370" s="247"/>
      <c r="AQ370" s="247"/>
      <c r="AR370" s="247"/>
      <c r="AS370" s="247"/>
      <c r="AT370" s="247"/>
      <c r="AU370" s="247"/>
      <c r="AW370" s="116"/>
    </row>
    <row r="371" spans="39:49" ht="13.5" customHeight="1">
      <c r="AM371" s="247"/>
      <c r="AN371" s="247"/>
      <c r="AO371" s="247"/>
      <c r="AP371" s="247"/>
      <c r="AQ371" s="247"/>
      <c r="AR371" s="247"/>
      <c r="AS371" s="247"/>
      <c r="AT371" s="247"/>
      <c r="AU371" s="247"/>
      <c r="AW371" s="116"/>
    </row>
    <row r="372" spans="39:49" ht="24" customHeight="1">
      <c r="AM372" s="247"/>
      <c r="AN372" s="247"/>
      <c r="AO372" s="247"/>
      <c r="AP372" s="247"/>
      <c r="AQ372" s="247"/>
      <c r="AR372" s="247"/>
      <c r="AS372" s="247"/>
      <c r="AT372" s="247"/>
      <c r="AU372" s="247"/>
      <c r="AW372" s="116"/>
    </row>
    <row r="373" spans="39:49" ht="13.5" customHeight="1">
      <c r="AM373" s="247"/>
      <c r="AN373" s="247"/>
      <c r="AO373" s="247"/>
      <c r="AP373" s="247"/>
      <c r="AQ373" s="247"/>
      <c r="AR373" s="247"/>
      <c r="AS373" s="247"/>
      <c r="AT373" s="247"/>
      <c r="AU373" s="247"/>
      <c r="AW373" s="116"/>
    </row>
    <row r="374" spans="39:49" ht="24" customHeight="1">
      <c r="AM374" s="247"/>
      <c r="AN374" s="247"/>
      <c r="AO374" s="247"/>
      <c r="AP374" s="247"/>
      <c r="AQ374" s="247"/>
      <c r="AR374" s="247"/>
      <c r="AS374" s="247"/>
      <c r="AT374" s="247"/>
      <c r="AU374" s="247"/>
      <c r="AW374" s="116"/>
    </row>
    <row r="375" spans="39:49" ht="13.5" customHeight="1">
      <c r="AM375" s="247"/>
      <c r="AN375" s="247"/>
      <c r="AO375" s="247"/>
      <c r="AP375" s="247"/>
      <c r="AQ375" s="247"/>
      <c r="AR375" s="247"/>
      <c r="AS375" s="247"/>
      <c r="AT375" s="247"/>
      <c r="AU375" s="247"/>
      <c r="AW375" s="116"/>
    </row>
    <row r="376" spans="39:49" ht="24" customHeight="1">
      <c r="AM376" s="247"/>
      <c r="AN376" s="247"/>
      <c r="AO376" s="247"/>
      <c r="AP376" s="247"/>
      <c r="AQ376" s="247"/>
      <c r="AR376" s="247"/>
      <c r="AS376" s="247"/>
      <c r="AT376" s="247"/>
      <c r="AU376" s="247"/>
      <c r="AW376" s="116"/>
    </row>
    <row r="377" spans="39:49" ht="13.5" customHeight="1">
      <c r="AM377" s="247"/>
      <c r="AN377" s="247"/>
      <c r="AO377" s="247"/>
      <c r="AP377" s="247"/>
      <c r="AQ377" s="247"/>
      <c r="AR377" s="247"/>
      <c r="AS377" s="247"/>
      <c r="AT377" s="247"/>
      <c r="AU377" s="247"/>
      <c r="AW377" s="116"/>
    </row>
    <row r="378" spans="39:49" ht="24" customHeight="1">
      <c r="AM378" s="247"/>
      <c r="AN378" s="247"/>
      <c r="AO378" s="247"/>
      <c r="AP378" s="247"/>
      <c r="AQ378" s="247"/>
      <c r="AR378" s="247"/>
      <c r="AS378" s="247"/>
      <c r="AT378" s="247"/>
      <c r="AU378" s="247"/>
      <c r="AW378" s="116"/>
    </row>
    <row r="379" spans="39:49" ht="13.5" customHeight="1">
      <c r="AM379" s="247"/>
      <c r="AN379" s="247"/>
      <c r="AO379" s="247"/>
      <c r="AP379" s="247"/>
      <c r="AQ379" s="247"/>
      <c r="AR379" s="247"/>
      <c r="AS379" s="247"/>
      <c r="AT379" s="247"/>
      <c r="AU379" s="247"/>
      <c r="AW379" s="116"/>
    </row>
    <row r="380" spans="39:49" ht="24" customHeight="1">
      <c r="AM380" s="247"/>
      <c r="AN380" s="247"/>
      <c r="AO380" s="247"/>
      <c r="AP380" s="247"/>
      <c r="AQ380" s="247"/>
      <c r="AR380" s="247"/>
      <c r="AS380" s="247"/>
      <c r="AT380" s="247"/>
      <c r="AU380" s="247"/>
      <c r="AW380" s="116"/>
    </row>
    <row r="381" spans="39:49" ht="13.5" customHeight="1">
      <c r="AM381" s="247"/>
      <c r="AN381" s="247"/>
      <c r="AO381" s="247"/>
      <c r="AP381" s="247"/>
      <c r="AQ381" s="247"/>
      <c r="AR381" s="247"/>
      <c r="AS381" s="247"/>
      <c r="AT381" s="247"/>
      <c r="AU381" s="247"/>
      <c r="AW381" s="116"/>
    </row>
    <row r="382" spans="39:49" ht="24" customHeight="1">
      <c r="AM382" s="247"/>
      <c r="AN382" s="247"/>
      <c r="AO382" s="247"/>
      <c r="AP382" s="247"/>
      <c r="AQ382" s="247"/>
      <c r="AR382" s="247"/>
      <c r="AS382" s="247"/>
      <c r="AT382" s="247"/>
      <c r="AU382" s="247"/>
      <c r="AW382" s="116"/>
    </row>
    <row r="383" spans="39:49" ht="13.5" customHeight="1">
      <c r="AM383" s="247"/>
      <c r="AN383" s="247"/>
      <c r="AO383" s="247"/>
      <c r="AP383" s="247"/>
      <c r="AQ383" s="247"/>
      <c r="AR383" s="247"/>
      <c r="AS383" s="247"/>
      <c r="AT383" s="247"/>
      <c r="AU383" s="247"/>
      <c r="AW383" s="116"/>
    </row>
    <row r="384" spans="39:49" ht="24" customHeight="1">
      <c r="AM384" s="247"/>
      <c r="AN384" s="247"/>
      <c r="AO384" s="247"/>
      <c r="AP384" s="247"/>
      <c r="AQ384" s="247"/>
      <c r="AR384" s="247"/>
      <c r="AS384" s="247"/>
      <c r="AT384" s="247"/>
      <c r="AU384" s="247"/>
      <c r="AW384" s="116"/>
    </row>
    <row r="385" spans="39:49" ht="13.5" customHeight="1">
      <c r="AM385" s="247"/>
      <c r="AN385" s="247"/>
      <c r="AO385" s="247"/>
      <c r="AP385" s="247"/>
      <c r="AQ385" s="247"/>
      <c r="AR385" s="247"/>
      <c r="AS385" s="247"/>
      <c r="AT385" s="247"/>
      <c r="AU385" s="247"/>
      <c r="AW385" s="116"/>
    </row>
    <row r="386" spans="39:49" ht="24" customHeight="1">
      <c r="AM386" s="247"/>
      <c r="AN386" s="247"/>
      <c r="AO386" s="247"/>
      <c r="AP386" s="247"/>
      <c r="AQ386" s="247"/>
      <c r="AR386" s="247"/>
      <c r="AS386" s="247"/>
      <c r="AT386" s="247"/>
      <c r="AU386" s="247"/>
      <c r="AW386" s="116"/>
    </row>
    <row r="387" spans="39:49" ht="13.5" customHeight="1">
      <c r="AM387" s="247"/>
      <c r="AN387" s="247"/>
      <c r="AO387" s="247"/>
      <c r="AP387" s="247"/>
      <c r="AQ387" s="247"/>
      <c r="AR387" s="247"/>
      <c r="AS387" s="247"/>
      <c r="AT387" s="247"/>
      <c r="AU387" s="247"/>
      <c r="AW387" s="116"/>
    </row>
    <row r="388" spans="39:49" ht="24" customHeight="1">
      <c r="AM388" s="247"/>
      <c r="AN388" s="247"/>
      <c r="AO388" s="247"/>
      <c r="AP388" s="247"/>
      <c r="AQ388" s="247"/>
      <c r="AR388" s="247"/>
      <c r="AS388" s="247"/>
      <c r="AT388" s="247"/>
      <c r="AU388" s="247"/>
      <c r="AW388" s="116"/>
    </row>
    <row r="389" spans="39:49" ht="13.5" customHeight="1">
      <c r="AM389" s="247"/>
      <c r="AN389" s="247"/>
      <c r="AO389" s="247"/>
      <c r="AP389" s="247"/>
      <c r="AQ389" s="247"/>
      <c r="AR389" s="247"/>
      <c r="AS389" s="247"/>
      <c r="AT389" s="247"/>
      <c r="AU389" s="247"/>
      <c r="AW389" s="116"/>
    </row>
    <row r="390" spans="39:49" ht="24" customHeight="1">
      <c r="AM390" s="247"/>
      <c r="AN390" s="247"/>
      <c r="AO390" s="247"/>
      <c r="AP390" s="247"/>
      <c r="AQ390" s="247"/>
      <c r="AR390" s="247"/>
      <c r="AS390" s="247"/>
      <c r="AT390" s="247"/>
      <c r="AU390" s="247"/>
      <c r="AW390" s="116"/>
    </row>
    <row r="391" spans="39:49" ht="13.5" customHeight="1">
      <c r="AM391" s="247"/>
      <c r="AN391" s="247"/>
      <c r="AO391" s="247"/>
      <c r="AP391" s="247"/>
      <c r="AQ391" s="247"/>
      <c r="AR391" s="247"/>
      <c r="AS391" s="247"/>
      <c r="AT391" s="247"/>
      <c r="AU391" s="247"/>
      <c r="AW391" s="116"/>
    </row>
    <row r="392" spans="39:49" ht="24" customHeight="1">
      <c r="AM392" s="247"/>
      <c r="AN392" s="247"/>
      <c r="AO392" s="247"/>
      <c r="AP392" s="247"/>
      <c r="AQ392" s="247"/>
      <c r="AR392" s="247"/>
      <c r="AS392" s="247"/>
      <c r="AT392" s="247"/>
      <c r="AU392" s="247"/>
      <c r="AW392" s="116"/>
    </row>
    <row r="393" spans="39:49" ht="13.5" customHeight="1">
      <c r="AM393" s="247"/>
      <c r="AN393" s="247"/>
      <c r="AO393" s="247"/>
      <c r="AP393" s="247"/>
      <c r="AQ393" s="247"/>
      <c r="AR393" s="247"/>
      <c r="AS393" s="247"/>
      <c r="AT393" s="247"/>
      <c r="AU393" s="247"/>
      <c r="AW393" s="116"/>
    </row>
    <row r="394" spans="39:49" ht="24" customHeight="1">
      <c r="AM394" s="247"/>
      <c r="AN394" s="247"/>
      <c r="AO394" s="247"/>
      <c r="AP394" s="247"/>
      <c r="AQ394" s="247"/>
      <c r="AR394" s="247"/>
      <c r="AS394" s="247"/>
      <c r="AT394" s="247"/>
      <c r="AU394" s="247"/>
      <c r="AW394" s="116"/>
    </row>
    <row r="395" spans="39:49" ht="13.5" customHeight="1">
      <c r="AM395" s="247"/>
      <c r="AN395" s="247"/>
      <c r="AO395" s="247"/>
      <c r="AP395" s="247"/>
      <c r="AQ395" s="247"/>
      <c r="AR395" s="247"/>
      <c r="AS395" s="247"/>
      <c r="AT395" s="247"/>
      <c r="AU395" s="247"/>
      <c r="AW395" s="116"/>
    </row>
    <row r="396" spans="39:49" ht="24" customHeight="1">
      <c r="AM396" s="247"/>
      <c r="AN396" s="247"/>
      <c r="AO396" s="247"/>
      <c r="AP396" s="247"/>
      <c r="AQ396" s="247"/>
      <c r="AR396" s="247"/>
      <c r="AS396" s="247"/>
      <c r="AT396" s="247"/>
      <c r="AU396" s="247"/>
      <c r="AW396" s="116"/>
    </row>
    <row r="397" spans="39:49" ht="13.5" customHeight="1">
      <c r="AM397" s="247"/>
      <c r="AN397" s="247"/>
      <c r="AO397" s="247"/>
      <c r="AP397" s="247"/>
      <c r="AQ397" s="247"/>
      <c r="AR397" s="247"/>
      <c r="AS397" s="247"/>
      <c r="AT397" s="247"/>
      <c r="AU397" s="247"/>
      <c r="AW397" s="116"/>
    </row>
    <row r="398" spans="39:49" ht="24" customHeight="1">
      <c r="AM398" s="247"/>
      <c r="AN398" s="247"/>
      <c r="AO398" s="247"/>
      <c r="AP398" s="247"/>
      <c r="AQ398" s="247"/>
      <c r="AR398" s="247"/>
      <c r="AS398" s="247"/>
      <c r="AT398" s="247"/>
      <c r="AU398" s="247"/>
      <c r="AW398" s="116"/>
    </row>
    <row r="399" spans="39:49" ht="13.5" customHeight="1">
      <c r="AM399" s="247"/>
      <c r="AN399" s="247"/>
      <c r="AO399" s="247"/>
      <c r="AP399" s="247"/>
      <c r="AQ399" s="247"/>
      <c r="AR399" s="247"/>
      <c r="AS399" s="247"/>
      <c r="AT399" s="247"/>
      <c r="AU399" s="247"/>
      <c r="AW399" s="116"/>
    </row>
    <row r="400" spans="39:49" ht="24" customHeight="1">
      <c r="AM400" s="247"/>
      <c r="AN400" s="247"/>
      <c r="AO400" s="247"/>
      <c r="AP400" s="247"/>
      <c r="AQ400" s="247"/>
      <c r="AR400" s="247"/>
      <c r="AS400" s="247"/>
      <c r="AT400" s="247"/>
      <c r="AU400" s="247"/>
      <c r="AW400" s="116"/>
    </row>
    <row r="401" spans="39:49" ht="13.5" customHeight="1">
      <c r="AM401" s="247"/>
      <c r="AN401" s="247"/>
      <c r="AO401" s="247"/>
      <c r="AP401" s="247"/>
      <c r="AQ401" s="247"/>
      <c r="AR401" s="247"/>
      <c r="AS401" s="247"/>
      <c r="AT401" s="247"/>
      <c r="AU401" s="247"/>
      <c r="AW401" s="116"/>
    </row>
    <row r="402" spans="39:49" ht="24" customHeight="1">
      <c r="AM402" s="247"/>
      <c r="AN402" s="247"/>
      <c r="AO402" s="247"/>
      <c r="AP402" s="247"/>
      <c r="AQ402" s="247"/>
      <c r="AR402" s="247"/>
      <c r="AS402" s="247"/>
      <c r="AT402" s="247"/>
      <c r="AU402" s="247"/>
      <c r="AW402" s="116"/>
    </row>
    <row r="403" spans="39:49" ht="13.5" customHeight="1">
      <c r="AM403" s="247"/>
      <c r="AN403" s="247"/>
      <c r="AO403" s="247"/>
      <c r="AP403" s="247"/>
      <c r="AQ403" s="247"/>
      <c r="AR403" s="247"/>
      <c r="AS403" s="247"/>
      <c r="AT403" s="247"/>
      <c r="AU403" s="247"/>
      <c r="AW403" s="116"/>
    </row>
    <row r="404" spans="39:49" ht="24" customHeight="1">
      <c r="AM404" s="247"/>
      <c r="AN404" s="247"/>
      <c r="AO404" s="247"/>
      <c r="AP404" s="247"/>
      <c r="AQ404" s="247"/>
      <c r="AR404" s="247"/>
      <c r="AS404" s="247"/>
      <c r="AT404" s="247"/>
      <c r="AU404" s="247"/>
      <c r="AW404" s="116"/>
    </row>
    <row r="405" spans="39:49" ht="13.5" customHeight="1">
      <c r="AM405" s="247"/>
      <c r="AN405" s="247"/>
      <c r="AO405" s="247"/>
      <c r="AP405" s="247"/>
      <c r="AQ405" s="247"/>
      <c r="AR405" s="247"/>
      <c r="AS405" s="247"/>
      <c r="AT405" s="247"/>
      <c r="AU405" s="247"/>
      <c r="AW405" s="116"/>
    </row>
    <row r="406" spans="39:49" ht="24" customHeight="1">
      <c r="AM406" s="247"/>
      <c r="AN406" s="247"/>
      <c r="AO406" s="247"/>
      <c r="AP406" s="247"/>
      <c r="AQ406" s="247"/>
      <c r="AR406" s="247"/>
      <c r="AS406" s="247"/>
      <c r="AT406" s="247"/>
      <c r="AU406" s="247"/>
      <c r="AW406" s="116"/>
    </row>
    <row r="407" spans="39:49" ht="13.5" customHeight="1">
      <c r="AM407" s="247"/>
      <c r="AN407" s="247"/>
      <c r="AO407" s="247"/>
      <c r="AP407" s="247"/>
      <c r="AQ407" s="247"/>
      <c r="AR407" s="247"/>
      <c r="AS407" s="247"/>
      <c r="AT407" s="247"/>
      <c r="AU407" s="247"/>
      <c r="AW407" s="116"/>
    </row>
    <row r="408" spans="39:49" ht="24" customHeight="1">
      <c r="AM408" s="247"/>
      <c r="AN408" s="247"/>
      <c r="AO408" s="247"/>
      <c r="AP408" s="247"/>
      <c r="AQ408" s="247"/>
      <c r="AR408" s="247"/>
      <c r="AS408" s="247"/>
      <c r="AT408" s="247"/>
      <c r="AU408" s="247"/>
      <c r="AW408" s="116"/>
    </row>
    <row r="409" spans="39:49" ht="13.5" customHeight="1">
      <c r="AM409" s="247"/>
      <c r="AN409" s="247"/>
      <c r="AO409" s="247"/>
      <c r="AP409" s="247"/>
      <c r="AQ409" s="247"/>
      <c r="AR409" s="247"/>
      <c r="AS409" s="247"/>
      <c r="AT409" s="247"/>
      <c r="AU409" s="247"/>
      <c r="AW409" s="116"/>
    </row>
    <row r="410" spans="39:49" ht="24" customHeight="1">
      <c r="AM410" s="247"/>
      <c r="AN410" s="247"/>
      <c r="AO410" s="247"/>
      <c r="AP410" s="247"/>
      <c r="AQ410" s="247"/>
      <c r="AR410" s="247"/>
      <c r="AS410" s="247"/>
      <c r="AT410" s="247"/>
      <c r="AU410" s="247"/>
      <c r="AW410" s="116"/>
    </row>
    <row r="411" spans="39:49" ht="13.5" customHeight="1">
      <c r="AM411" s="247"/>
      <c r="AN411" s="247"/>
      <c r="AO411" s="247"/>
      <c r="AP411" s="247"/>
      <c r="AQ411" s="247"/>
      <c r="AR411" s="247"/>
      <c r="AS411" s="247"/>
      <c r="AT411" s="247"/>
      <c r="AU411" s="247"/>
      <c r="AW411" s="116"/>
    </row>
    <row r="412" spans="39:49" ht="24" customHeight="1">
      <c r="AM412" s="247"/>
      <c r="AN412" s="247"/>
      <c r="AO412" s="247"/>
      <c r="AP412" s="247"/>
      <c r="AQ412" s="247"/>
      <c r="AR412" s="247"/>
      <c r="AS412" s="247"/>
      <c r="AT412" s="247"/>
      <c r="AU412" s="247"/>
      <c r="AW412" s="116"/>
    </row>
    <row r="413" spans="39:49" ht="13.5" customHeight="1">
      <c r="AM413" s="247"/>
      <c r="AN413" s="247"/>
      <c r="AO413" s="247"/>
      <c r="AP413" s="247"/>
      <c r="AQ413" s="247"/>
      <c r="AR413" s="247"/>
      <c r="AS413" s="247"/>
      <c r="AT413" s="247"/>
      <c r="AU413" s="247"/>
      <c r="AW413" s="116"/>
    </row>
    <row r="414" spans="39:49" ht="24" customHeight="1">
      <c r="AM414" s="247"/>
      <c r="AN414" s="247"/>
      <c r="AO414" s="247"/>
      <c r="AP414" s="247"/>
      <c r="AQ414" s="247"/>
      <c r="AR414" s="247"/>
      <c r="AS414" s="247"/>
      <c r="AT414" s="247"/>
      <c r="AU414" s="247"/>
      <c r="AW414" s="116"/>
    </row>
    <row r="415" spans="39:49" ht="13.5" customHeight="1">
      <c r="AM415" s="247"/>
      <c r="AN415" s="247"/>
      <c r="AO415" s="247"/>
      <c r="AP415" s="247"/>
      <c r="AQ415" s="247"/>
      <c r="AR415" s="247"/>
      <c r="AS415" s="247"/>
      <c r="AT415" s="247"/>
      <c r="AU415" s="247"/>
      <c r="AW415" s="116"/>
    </row>
    <row r="416" spans="39:49" ht="24" customHeight="1">
      <c r="AM416" s="247"/>
      <c r="AN416" s="247"/>
      <c r="AO416" s="247"/>
      <c r="AP416" s="247"/>
      <c r="AQ416" s="247"/>
      <c r="AR416" s="247"/>
      <c r="AS416" s="247"/>
      <c r="AT416" s="247"/>
      <c r="AU416" s="247"/>
      <c r="AW416" s="116"/>
    </row>
    <row r="417" spans="39:49" ht="13.5" customHeight="1">
      <c r="AM417" s="247"/>
      <c r="AN417" s="247"/>
      <c r="AO417" s="247"/>
      <c r="AP417" s="247"/>
      <c r="AQ417" s="247"/>
      <c r="AR417" s="247"/>
      <c r="AS417" s="247"/>
      <c r="AT417" s="247"/>
      <c r="AU417" s="247"/>
      <c r="AW417" s="116"/>
    </row>
    <row r="418" spans="39:49" ht="24" customHeight="1">
      <c r="AM418" s="247"/>
      <c r="AN418" s="247"/>
      <c r="AO418" s="247"/>
      <c r="AP418" s="247"/>
      <c r="AQ418" s="247"/>
      <c r="AR418" s="247"/>
      <c r="AS418" s="247"/>
      <c r="AT418" s="247"/>
      <c r="AU418" s="247"/>
      <c r="AW418" s="116"/>
    </row>
    <row r="419" spans="39:49" ht="13.5" customHeight="1">
      <c r="AM419" s="247"/>
      <c r="AN419" s="247"/>
      <c r="AO419" s="247"/>
      <c r="AP419" s="247"/>
      <c r="AQ419" s="247"/>
      <c r="AR419" s="247"/>
      <c r="AS419" s="247"/>
      <c r="AT419" s="247"/>
      <c r="AU419" s="247"/>
      <c r="AW419" s="116"/>
    </row>
    <row r="420" spans="39:49" ht="24" customHeight="1">
      <c r="AM420" s="247"/>
      <c r="AN420" s="247"/>
      <c r="AO420" s="247"/>
      <c r="AP420" s="247"/>
      <c r="AQ420" s="247"/>
      <c r="AR420" s="247"/>
      <c r="AS420" s="247"/>
      <c r="AT420" s="247"/>
      <c r="AU420" s="247"/>
      <c r="AW420" s="116"/>
    </row>
    <row r="421" spans="39:49" ht="13.5" customHeight="1">
      <c r="AM421" s="247"/>
      <c r="AN421" s="247"/>
      <c r="AO421" s="247"/>
      <c r="AP421" s="247"/>
      <c r="AQ421" s="247"/>
      <c r="AR421" s="247"/>
      <c r="AS421" s="247"/>
      <c r="AT421" s="247"/>
      <c r="AU421" s="247"/>
      <c r="AW421" s="116"/>
    </row>
    <row r="422" spans="39:49" ht="24" customHeight="1">
      <c r="AM422" s="247"/>
      <c r="AN422" s="247"/>
      <c r="AO422" s="247"/>
      <c r="AP422" s="247"/>
      <c r="AQ422" s="247"/>
      <c r="AR422" s="247"/>
      <c r="AS422" s="247"/>
      <c r="AT422" s="247"/>
      <c r="AU422" s="247"/>
      <c r="AW422" s="116"/>
    </row>
    <row r="423" spans="39:49" ht="13.5" customHeight="1">
      <c r="AM423" s="247"/>
      <c r="AN423" s="247"/>
      <c r="AO423" s="247"/>
      <c r="AP423" s="247"/>
      <c r="AQ423" s="247"/>
      <c r="AR423" s="247"/>
      <c r="AS423" s="247"/>
      <c r="AT423" s="247"/>
      <c r="AU423" s="247"/>
      <c r="AW423" s="116"/>
    </row>
    <row r="424" spans="39:49" ht="24" customHeight="1">
      <c r="AM424" s="247"/>
      <c r="AN424" s="247"/>
      <c r="AO424" s="247"/>
      <c r="AP424" s="247"/>
      <c r="AQ424" s="247"/>
      <c r="AR424" s="247"/>
      <c r="AS424" s="247"/>
      <c r="AT424" s="247"/>
      <c r="AU424" s="247"/>
      <c r="AW424" s="116"/>
    </row>
    <row r="425" spans="39:49" ht="13.5" customHeight="1">
      <c r="AM425" s="247"/>
      <c r="AN425" s="247"/>
      <c r="AO425" s="247"/>
      <c r="AP425" s="247"/>
      <c r="AQ425" s="247"/>
      <c r="AR425" s="247"/>
      <c r="AS425" s="247"/>
      <c r="AT425" s="247"/>
      <c r="AU425" s="247"/>
      <c r="AW425" s="116"/>
    </row>
    <row r="426" spans="39:49" ht="24" customHeight="1">
      <c r="AM426" s="247"/>
      <c r="AN426" s="247"/>
      <c r="AO426" s="247"/>
      <c r="AP426" s="247"/>
      <c r="AQ426" s="247"/>
      <c r="AR426" s="247"/>
      <c r="AS426" s="247"/>
      <c r="AT426" s="247"/>
      <c r="AU426" s="247"/>
      <c r="AW426" s="116"/>
    </row>
    <row r="427" spans="39:49" ht="13.5" customHeight="1">
      <c r="AM427" s="247"/>
      <c r="AN427" s="247"/>
      <c r="AO427" s="247"/>
      <c r="AP427" s="247"/>
      <c r="AQ427" s="247"/>
      <c r="AR427" s="247"/>
      <c r="AS427" s="247"/>
      <c r="AT427" s="247"/>
      <c r="AU427" s="247"/>
      <c r="AW427" s="116"/>
    </row>
    <row r="428" spans="39:49" ht="24" customHeight="1">
      <c r="AM428" s="247"/>
      <c r="AN428" s="247"/>
      <c r="AO428" s="247"/>
      <c r="AP428" s="247"/>
      <c r="AQ428" s="247"/>
      <c r="AR428" s="247"/>
      <c r="AS428" s="247"/>
      <c r="AT428" s="247"/>
      <c r="AU428" s="247"/>
      <c r="AW428" s="116"/>
    </row>
    <row r="429" spans="39:49" ht="13.5" customHeight="1">
      <c r="AM429" s="247"/>
      <c r="AN429" s="247"/>
      <c r="AO429" s="247"/>
      <c r="AP429" s="247"/>
      <c r="AQ429" s="247"/>
      <c r="AR429" s="247"/>
      <c r="AS429" s="247"/>
      <c r="AT429" s="247"/>
      <c r="AU429" s="247"/>
      <c r="AW429" s="116"/>
    </row>
    <row r="430" spans="39:49" ht="24" customHeight="1">
      <c r="AM430" s="247"/>
      <c r="AN430" s="247"/>
      <c r="AO430" s="247"/>
      <c r="AP430" s="247"/>
      <c r="AQ430" s="247"/>
      <c r="AR430" s="247"/>
      <c r="AS430" s="247"/>
      <c r="AT430" s="247"/>
      <c r="AU430" s="247"/>
      <c r="AW430" s="116"/>
    </row>
    <row r="431" spans="39:49" ht="13.5" customHeight="1">
      <c r="AM431" s="247"/>
      <c r="AN431" s="247"/>
      <c r="AO431" s="247"/>
      <c r="AP431" s="247"/>
      <c r="AQ431" s="247"/>
      <c r="AR431" s="247"/>
      <c r="AS431" s="247"/>
      <c r="AT431" s="247"/>
      <c r="AU431" s="247"/>
      <c r="AW431" s="116"/>
    </row>
    <row r="432" spans="39:49" ht="24" customHeight="1">
      <c r="AM432" s="247"/>
      <c r="AN432" s="247"/>
      <c r="AO432" s="247"/>
      <c r="AP432" s="247"/>
      <c r="AQ432" s="247"/>
      <c r="AR432" s="247"/>
      <c r="AS432" s="247"/>
      <c r="AT432" s="247"/>
      <c r="AU432" s="247"/>
      <c r="AW432" s="116"/>
    </row>
    <row r="433" spans="39:49" ht="13.5" customHeight="1">
      <c r="AM433" s="247"/>
      <c r="AN433" s="247"/>
      <c r="AO433" s="247"/>
      <c r="AP433" s="247"/>
      <c r="AQ433" s="247"/>
      <c r="AR433" s="247"/>
      <c r="AS433" s="247"/>
      <c r="AT433" s="247"/>
      <c r="AU433" s="247"/>
      <c r="AW433" s="116"/>
    </row>
    <row r="434" spans="39:49" ht="24" customHeight="1">
      <c r="AM434" s="247"/>
      <c r="AN434" s="247"/>
      <c r="AO434" s="247"/>
      <c r="AP434" s="247"/>
      <c r="AQ434" s="247"/>
      <c r="AR434" s="247"/>
      <c r="AS434" s="247"/>
      <c r="AT434" s="247"/>
      <c r="AU434" s="247"/>
      <c r="AW434" s="116"/>
    </row>
    <row r="435" spans="39:49" ht="13.5" customHeight="1">
      <c r="AM435" s="247"/>
      <c r="AN435" s="247"/>
      <c r="AO435" s="247"/>
      <c r="AP435" s="247"/>
      <c r="AQ435" s="247"/>
      <c r="AR435" s="247"/>
      <c r="AS435" s="247"/>
      <c r="AT435" s="247"/>
      <c r="AU435" s="247"/>
      <c r="AW435" s="116"/>
    </row>
    <row r="436" spans="39:49" ht="24" customHeight="1">
      <c r="AM436" s="247"/>
      <c r="AN436" s="247"/>
      <c r="AO436" s="247"/>
      <c r="AP436" s="247"/>
      <c r="AQ436" s="247"/>
      <c r="AR436" s="247"/>
      <c r="AS436" s="247"/>
      <c r="AT436" s="247"/>
      <c r="AU436" s="247"/>
      <c r="AW436" s="116"/>
    </row>
    <row r="437" spans="39:49" ht="13.5" customHeight="1">
      <c r="AM437" s="247"/>
      <c r="AN437" s="247"/>
      <c r="AO437" s="247"/>
      <c r="AP437" s="247"/>
      <c r="AQ437" s="247"/>
      <c r="AR437" s="247"/>
      <c r="AS437" s="247"/>
      <c r="AT437" s="247"/>
      <c r="AU437" s="247"/>
      <c r="AW437" s="116"/>
    </row>
    <row r="438" spans="39:49" ht="24" customHeight="1">
      <c r="AM438" s="247"/>
      <c r="AN438" s="247"/>
      <c r="AO438" s="247"/>
      <c r="AP438" s="247"/>
      <c r="AQ438" s="247"/>
      <c r="AR438" s="247"/>
      <c r="AS438" s="247"/>
      <c r="AT438" s="247"/>
      <c r="AU438" s="247"/>
      <c r="AW438" s="116"/>
    </row>
    <row r="439" spans="39:49" ht="13.5" customHeight="1">
      <c r="AM439" s="247"/>
      <c r="AN439" s="247"/>
      <c r="AO439" s="247"/>
      <c r="AP439" s="247"/>
      <c r="AQ439" s="247"/>
      <c r="AR439" s="247"/>
      <c r="AS439" s="247"/>
      <c r="AT439" s="247"/>
      <c r="AU439" s="247"/>
      <c r="AW439" s="116"/>
    </row>
    <row r="440" spans="39:49" ht="24" customHeight="1">
      <c r="AM440" s="247"/>
      <c r="AN440" s="247"/>
      <c r="AO440" s="247"/>
      <c r="AP440" s="247"/>
      <c r="AQ440" s="247"/>
      <c r="AR440" s="247"/>
      <c r="AS440" s="247"/>
      <c r="AT440" s="247"/>
      <c r="AU440" s="247"/>
      <c r="AW440" s="116"/>
    </row>
    <row r="441" spans="39:49" ht="13.5" customHeight="1">
      <c r="AM441" s="247"/>
      <c r="AN441" s="247"/>
      <c r="AO441" s="247"/>
      <c r="AP441" s="247"/>
      <c r="AQ441" s="247"/>
      <c r="AR441" s="247"/>
      <c r="AS441" s="247"/>
      <c r="AT441" s="247"/>
      <c r="AU441" s="247"/>
      <c r="AW441" s="116"/>
    </row>
    <row r="442" spans="39:49" ht="24" customHeight="1">
      <c r="AM442" s="247"/>
      <c r="AN442" s="247"/>
      <c r="AO442" s="247"/>
      <c r="AP442" s="247"/>
      <c r="AQ442" s="247"/>
      <c r="AR442" s="247"/>
      <c r="AS442" s="247"/>
      <c r="AT442" s="247"/>
      <c r="AU442" s="247"/>
      <c r="AW442" s="116"/>
    </row>
    <row r="443" spans="39:49" ht="13.5" customHeight="1">
      <c r="AM443" s="247"/>
      <c r="AN443" s="247"/>
      <c r="AO443" s="247"/>
      <c r="AP443" s="247"/>
      <c r="AQ443" s="247"/>
      <c r="AR443" s="247"/>
      <c r="AS443" s="247"/>
      <c r="AT443" s="247"/>
      <c r="AU443" s="247"/>
      <c r="AW443" s="116"/>
    </row>
    <row r="444" spans="39:49" ht="24" customHeight="1">
      <c r="AM444" s="247"/>
      <c r="AN444" s="247"/>
      <c r="AO444" s="247"/>
      <c r="AP444" s="247"/>
      <c r="AQ444" s="247"/>
      <c r="AR444" s="247"/>
      <c r="AS444" s="247"/>
      <c r="AT444" s="247"/>
      <c r="AU444" s="247"/>
      <c r="AW444" s="116"/>
    </row>
    <row r="445" spans="39:49" ht="13.5" customHeight="1">
      <c r="AM445" s="247"/>
      <c r="AN445" s="247"/>
      <c r="AO445" s="247"/>
      <c r="AP445" s="247"/>
      <c r="AQ445" s="247"/>
      <c r="AR445" s="247"/>
      <c r="AS445" s="247"/>
      <c r="AT445" s="247"/>
      <c r="AU445" s="247"/>
      <c r="AW445" s="116"/>
    </row>
    <row r="446" spans="39:49" ht="24" customHeight="1">
      <c r="AM446" s="247"/>
      <c r="AN446" s="247"/>
      <c r="AO446" s="247"/>
      <c r="AP446" s="247"/>
      <c r="AQ446" s="247"/>
      <c r="AR446" s="247"/>
      <c r="AS446" s="247"/>
      <c r="AT446" s="247"/>
      <c r="AU446" s="247"/>
      <c r="AW446" s="116"/>
    </row>
    <row r="447" spans="39:49" ht="13.5" customHeight="1">
      <c r="AM447" s="247"/>
      <c r="AN447" s="247"/>
      <c r="AO447" s="247"/>
      <c r="AP447" s="247"/>
      <c r="AQ447" s="247"/>
      <c r="AR447" s="247"/>
      <c r="AS447" s="247"/>
      <c r="AT447" s="247"/>
      <c r="AU447" s="247"/>
      <c r="AW447" s="116"/>
    </row>
    <row r="448" spans="39:49" ht="24" customHeight="1">
      <c r="AM448" s="247"/>
      <c r="AN448" s="247"/>
      <c r="AO448" s="247"/>
      <c r="AP448" s="247"/>
      <c r="AQ448" s="247"/>
      <c r="AR448" s="247"/>
      <c r="AS448" s="247"/>
      <c r="AT448" s="247"/>
      <c r="AU448" s="247"/>
      <c r="AW448" s="116"/>
    </row>
    <row r="449" spans="39:49" ht="13.5" customHeight="1">
      <c r="AM449" s="247"/>
      <c r="AN449" s="247"/>
      <c r="AO449" s="247"/>
      <c r="AP449" s="247"/>
      <c r="AQ449" s="247"/>
      <c r="AR449" s="247"/>
      <c r="AS449" s="247"/>
      <c r="AT449" s="247"/>
      <c r="AU449" s="247"/>
      <c r="AW449" s="116"/>
    </row>
    <row r="450" spans="39:49" ht="24" customHeight="1">
      <c r="AM450" s="247"/>
      <c r="AN450" s="247"/>
      <c r="AO450" s="247"/>
      <c r="AP450" s="247"/>
      <c r="AQ450" s="247"/>
      <c r="AR450" s="247"/>
      <c r="AS450" s="247"/>
      <c r="AT450" s="247"/>
      <c r="AU450" s="247"/>
      <c r="AW450" s="116"/>
    </row>
    <row r="451" spans="39:49" ht="13.5" customHeight="1">
      <c r="AM451" s="247"/>
      <c r="AN451" s="247"/>
      <c r="AO451" s="247"/>
      <c r="AP451" s="247"/>
      <c r="AQ451" s="247"/>
      <c r="AR451" s="247"/>
      <c r="AS451" s="247"/>
      <c r="AT451" s="247"/>
      <c r="AU451" s="247"/>
      <c r="AW451" s="116"/>
    </row>
    <row r="452" spans="39:49" ht="24" customHeight="1">
      <c r="AM452" s="247"/>
      <c r="AN452" s="247"/>
      <c r="AO452" s="247"/>
      <c r="AP452" s="247"/>
      <c r="AQ452" s="247"/>
      <c r="AR452" s="247"/>
      <c r="AS452" s="247"/>
      <c r="AT452" s="247"/>
      <c r="AU452" s="247"/>
      <c r="AW452" s="116"/>
    </row>
    <row r="453" spans="39:49" ht="13.5" customHeight="1">
      <c r="AM453" s="247"/>
      <c r="AN453" s="247"/>
      <c r="AO453" s="247"/>
      <c r="AP453" s="247"/>
      <c r="AQ453" s="247"/>
      <c r="AR453" s="247"/>
      <c r="AS453" s="247"/>
      <c r="AT453" s="247"/>
      <c r="AU453" s="247"/>
      <c r="AW453" s="116"/>
    </row>
    <row r="454" spans="39:49" ht="24" customHeight="1">
      <c r="AM454" s="247"/>
      <c r="AN454" s="247"/>
      <c r="AO454" s="247"/>
      <c r="AP454" s="247"/>
      <c r="AQ454" s="247"/>
      <c r="AR454" s="247"/>
      <c r="AS454" s="247"/>
      <c r="AT454" s="247"/>
      <c r="AU454" s="247"/>
      <c r="AW454" s="116"/>
    </row>
    <row r="455" spans="39:49" ht="13.5" customHeight="1">
      <c r="AM455" s="247"/>
      <c r="AN455" s="247"/>
      <c r="AO455" s="247"/>
      <c r="AP455" s="247"/>
      <c r="AQ455" s="247"/>
      <c r="AR455" s="247"/>
      <c r="AS455" s="247"/>
      <c r="AT455" s="247"/>
      <c r="AU455" s="247"/>
      <c r="AW455" s="116"/>
    </row>
    <row r="456" spans="39:49" ht="24" customHeight="1">
      <c r="AM456" s="247"/>
      <c r="AN456" s="247"/>
      <c r="AO456" s="247"/>
      <c r="AP456" s="247"/>
      <c r="AQ456" s="247"/>
      <c r="AR456" s="247"/>
      <c r="AS456" s="247"/>
      <c r="AT456" s="247"/>
      <c r="AU456" s="247"/>
      <c r="AW456" s="116"/>
    </row>
    <row r="457" spans="39:49" ht="13.5" customHeight="1">
      <c r="AM457" s="247"/>
      <c r="AN457" s="247"/>
      <c r="AO457" s="247"/>
      <c r="AP457" s="247"/>
      <c r="AQ457" s="247"/>
      <c r="AR457" s="247"/>
      <c r="AS457" s="247"/>
      <c r="AT457" s="247"/>
      <c r="AU457" s="247"/>
      <c r="AW457" s="116"/>
    </row>
    <row r="458" spans="39:49" ht="24" customHeight="1">
      <c r="AM458" s="247"/>
      <c r="AN458" s="247"/>
      <c r="AO458" s="247"/>
      <c r="AP458" s="247"/>
      <c r="AQ458" s="247"/>
      <c r="AR458" s="247"/>
      <c r="AS458" s="247"/>
      <c r="AT458" s="247"/>
      <c r="AU458" s="247"/>
      <c r="AW458" s="116"/>
    </row>
    <row r="459" spans="39:49" ht="13.5" customHeight="1">
      <c r="AM459" s="247"/>
      <c r="AN459" s="247"/>
      <c r="AO459" s="247"/>
      <c r="AP459" s="247"/>
      <c r="AQ459" s="247"/>
      <c r="AR459" s="247"/>
      <c r="AS459" s="247"/>
      <c r="AT459" s="247"/>
      <c r="AU459" s="247"/>
      <c r="AW459" s="116"/>
    </row>
    <row r="460" spans="39:49" ht="24" customHeight="1">
      <c r="AM460" s="247"/>
      <c r="AN460" s="247"/>
      <c r="AO460" s="247"/>
      <c r="AP460" s="247"/>
      <c r="AQ460" s="247"/>
      <c r="AR460" s="247"/>
      <c r="AS460" s="247"/>
      <c r="AT460" s="247"/>
      <c r="AU460" s="247"/>
      <c r="AW460" s="116"/>
    </row>
    <row r="461" spans="39:49" ht="13.5" customHeight="1">
      <c r="AM461" s="247"/>
      <c r="AN461" s="247"/>
      <c r="AO461" s="247"/>
      <c r="AP461" s="247"/>
      <c r="AQ461" s="247"/>
      <c r="AR461" s="247"/>
      <c r="AS461" s="247"/>
      <c r="AT461" s="247"/>
      <c r="AU461" s="247"/>
      <c r="AW461" s="116"/>
    </row>
    <row r="462" spans="39:49" ht="24" customHeight="1">
      <c r="AM462" s="247"/>
      <c r="AN462" s="247"/>
      <c r="AO462" s="247"/>
      <c r="AP462" s="247"/>
      <c r="AQ462" s="247"/>
      <c r="AR462" s="247"/>
      <c r="AS462" s="247"/>
      <c r="AT462" s="247"/>
      <c r="AU462" s="247"/>
      <c r="AW462" s="116"/>
    </row>
    <row r="463" spans="39:49" ht="13.5" customHeight="1">
      <c r="AM463" s="247"/>
      <c r="AN463" s="247"/>
      <c r="AO463" s="247"/>
      <c r="AP463" s="247"/>
      <c r="AQ463" s="247"/>
      <c r="AR463" s="247"/>
      <c r="AS463" s="247"/>
      <c r="AT463" s="247"/>
      <c r="AU463" s="247"/>
      <c r="AW463" s="116"/>
    </row>
    <row r="464" spans="39:49" ht="24" customHeight="1">
      <c r="AM464" s="247"/>
      <c r="AN464" s="247"/>
      <c r="AO464" s="247"/>
      <c r="AP464" s="247"/>
      <c r="AQ464" s="247"/>
      <c r="AR464" s="247"/>
      <c r="AS464" s="247"/>
      <c r="AT464" s="247"/>
      <c r="AU464" s="247"/>
      <c r="AW464" s="116"/>
    </row>
    <row r="465" spans="39:49" ht="13.5" customHeight="1">
      <c r="AM465" s="247"/>
      <c r="AN465" s="247"/>
      <c r="AO465" s="247"/>
      <c r="AP465" s="247"/>
      <c r="AQ465" s="247"/>
      <c r="AR465" s="247"/>
      <c r="AS465" s="247"/>
      <c r="AT465" s="247"/>
      <c r="AU465" s="247"/>
      <c r="AW465" s="116"/>
    </row>
    <row r="466" spans="39:49" ht="24" customHeight="1">
      <c r="AM466" s="247"/>
      <c r="AN466" s="247"/>
      <c r="AO466" s="247"/>
      <c r="AP466" s="247"/>
      <c r="AQ466" s="247"/>
      <c r="AR466" s="247"/>
      <c r="AS466" s="247"/>
      <c r="AT466" s="247"/>
      <c r="AU466" s="247"/>
      <c r="AW466" s="116"/>
    </row>
    <row r="467" spans="39:49" ht="13.5" customHeight="1">
      <c r="AM467" s="247"/>
      <c r="AN467" s="247"/>
      <c r="AO467" s="247"/>
      <c r="AP467" s="247"/>
      <c r="AQ467" s="247"/>
      <c r="AR467" s="247"/>
      <c r="AS467" s="247"/>
      <c r="AT467" s="247"/>
      <c r="AU467" s="247"/>
      <c r="AW467" s="116"/>
    </row>
    <row r="468" spans="39:49" ht="24" customHeight="1">
      <c r="AM468" s="247"/>
      <c r="AN468" s="247"/>
      <c r="AO468" s="247"/>
      <c r="AP468" s="247"/>
      <c r="AQ468" s="247"/>
      <c r="AR468" s="247"/>
      <c r="AS468" s="247"/>
      <c r="AT468" s="247"/>
      <c r="AU468" s="247"/>
      <c r="AW468" s="116"/>
    </row>
    <row r="469" spans="39:49" ht="13.5" customHeight="1">
      <c r="AM469" s="247"/>
      <c r="AN469" s="247"/>
      <c r="AO469" s="247"/>
      <c r="AP469" s="247"/>
      <c r="AQ469" s="247"/>
      <c r="AR469" s="247"/>
      <c r="AS469" s="247"/>
      <c r="AT469" s="247"/>
      <c r="AU469" s="247"/>
      <c r="AW469" s="116"/>
    </row>
    <row r="470" spans="39:49" ht="24" customHeight="1">
      <c r="AM470" s="247"/>
      <c r="AN470" s="247"/>
      <c r="AO470" s="247"/>
      <c r="AP470" s="247"/>
      <c r="AQ470" s="247"/>
      <c r="AR470" s="247"/>
      <c r="AS470" s="247"/>
      <c r="AT470" s="247"/>
      <c r="AU470" s="247"/>
      <c r="AW470" s="116"/>
    </row>
    <row r="471" spans="39:49" ht="13.5" customHeight="1">
      <c r="AM471" s="247"/>
      <c r="AN471" s="247"/>
      <c r="AO471" s="247"/>
      <c r="AP471" s="247"/>
      <c r="AQ471" s="247"/>
      <c r="AR471" s="247"/>
      <c r="AS471" s="247"/>
      <c r="AT471" s="247"/>
      <c r="AU471" s="247"/>
      <c r="AW471" s="116"/>
    </row>
    <row r="472" spans="39:49" ht="24" customHeight="1">
      <c r="AM472" s="247"/>
      <c r="AN472" s="247"/>
      <c r="AO472" s="247"/>
      <c r="AP472" s="247"/>
      <c r="AQ472" s="247"/>
      <c r="AR472" s="247"/>
      <c r="AS472" s="247"/>
      <c r="AT472" s="247"/>
      <c r="AU472" s="247"/>
      <c r="AW472" s="116"/>
    </row>
    <row r="473" spans="39:49" ht="13.5" customHeight="1">
      <c r="AM473" s="247"/>
      <c r="AN473" s="247"/>
      <c r="AO473" s="247"/>
      <c r="AP473" s="247"/>
      <c r="AQ473" s="247"/>
      <c r="AR473" s="247"/>
      <c r="AS473" s="247"/>
      <c r="AT473" s="247"/>
      <c r="AU473" s="247"/>
      <c r="AW473" s="116"/>
    </row>
    <row r="474" spans="39:49" ht="24" customHeight="1">
      <c r="AM474" s="247"/>
      <c r="AN474" s="247"/>
      <c r="AO474" s="247"/>
      <c r="AP474" s="247"/>
      <c r="AQ474" s="247"/>
      <c r="AR474" s="247"/>
      <c r="AS474" s="247"/>
      <c r="AT474" s="247"/>
      <c r="AU474" s="247"/>
      <c r="AW474" s="116"/>
    </row>
    <row r="475" spans="39:49" ht="13.5" customHeight="1">
      <c r="AM475" s="247"/>
      <c r="AN475" s="247"/>
      <c r="AO475" s="247"/>
      <c r="AP475" s="247"/>
      <c r="AQ475" s="247"/>
      <c r="AR475" s="247"/>
      <c r="AS475" s="247"/>
      <c r="AT475" s="247"/>
      <c r="AU475" s="247"/>
      <c r="AW475" s="116"/>
    </row>
    <row r="476" spans="39:49" ht="24" customHeight="1">
      <c r="AM476" s="247"/>
      <c r="AN476" s="247"/>
      <c r="AO476" s="247"/>
      <c r="AP476" s="247"/>
      <c r="AQ476" s="247"/>
      <c r="AR476" s="247"/>
      <c r="AS476" s="247"/>
      <c r="AT476" s="247"/>
      <c r="AU476" s="247"/>
      <c r="AW476" s="116"/>
    </row>
    <row r="477" spans="39:49" ht="13.5" customHeight="1">
      <c r="AM477" s="247"/>
      <c r="AN477" s="247"/>
      <c r="AO477" s="247"/>
      <c r="AP477" s="247"/>
      <c r="AQ477" s="247"/>
      <c r="AR477" s="247"/>
      <c r="AS477" s="247"/>
      <c r="AT477" s="247"/>
      <c r="AU477" s="247"/>
      <c r="AW477" s="116"/>
    </row>
    <row r="478" spans="39:49" ht="24" customHeight="1">
      <c r="AM478" s="247"/>
      <c r="AN478" s="247"/>
      <c r="AO478" s="247"/>
      <c r="AP478" s="247"/>
      <c r="AQ478" s="247"/>
      <c r="AR478" s="247"/>
      <c r="AS478" s="247"/>
      <c r="AT478" s="247"/>
      <c r="AU478" s="247"/>
      <c r="AW478" s="116"/>
    </row>
    <row r="479" spans="39:49" ht="13.5" customHeight="1">
      <c r="AM479" s="247"/>
      <c r="AN479" s="247"/>
      <c r="AO479" s="247"/>
      <c r="AP479" s="247"/>
      <c r="AQ479" s="247"/>
      <c r="AR479" s="247"/>
      <c r="AS479" s="247"/>
      <c r="AT479" s="247"/>
      <c r="AU479" s="247"/>
      <c r="AW479" s="116"/>
    </row>
    <row r="480" spans="39:49" ht="24" customHeight="1">
      <c r="AM480" s="247"/>
      <c r="AN480" s="247"/>
      <c r="AO480" s="247"/>
      <c r="AP480" s="247"/>
      <c r="AQ480" s="247"/>
      <c r="AR480" s="247"/>
      <c r="AS480" s="247"/>
      <c r="AT480" s="247"/>
      <c r="AU480" s="247"/>
      <c r="AW480" s="116"/>
    </row>
    <row r="481" spans="39:49" ht="13.5" customHeight="1">
      <c r="AM481" s="247"/>
      <c r="AN481" s="247"/>
      <c r="AO481" s="247"/>
      <c r="AP481" s="247"/>
      <c r="AQ481" s="247"/>
      <c r="AR481" s="247"/>
      <c r="AS481" s="247"/>
      <c r="AT481" s="247"/>
      <c r="AU481" s="247"/>
      <c r="AW481" s="116"/>
    </row>
    <row r="482" spans="39:49" ht="24" customHeight="1">
      <c r="AM482" s="247"/>
      <c r="AN482" s="247"/>
      <c r="AO482" s="247"/>
      <c r="AP482" s="247"/>
      <c r="AQ482" s="247"/>
      <c r="AR482" s="247"/>
      <c r="AS482" s="247"/>
      <c r="AT482" s="247"/>
      <c r="AU482" s="247"/>
      <c r="AW482" s="116"/>
    </row>
    <row r="483" spans="39:49" ht="13.5" customHeight="1">
      <c r="AM483" s="247"/>
      <c r="AN483" s="247"/>
      <c r="AO483" s="247"/>
      <c r="AP483" s="247"/>
      <c r="AQ483" s="247"/>
      <c r="AR483" s="247"/>
      <c r="AS483" s="247"/>
      <c r="AT483" s="247"/>
      <c r="AU483" s="247"/>
      <c r="AW483" s="116"/>
    </row>
    <row r="484" spans="39:49" ht="24" customHeight="1">
      <c r="AM484" s="247"/>
      <c r="AN484" s="247"/>
      <c r="AO484" s="247"/>
      <c r="AP484" s="247"/>
      <c r="AQ484" s="247"/>
      <c r="AR484" s="247"/>
      <c r="AS484" s="247"/>
      <c r="AT484" s="247"/>
      <c r="AU484" s="247"/>
      <c r="AW484" s="116"/>
    </row>
    <row r="485" spans="39:49" ht="13.5" customHeight="1">
      <c r="AM485" s="247"/>
      <c r="AN485" s="247"/>
      <c r="AO485" s="247"/>
      <c r="AP485" s="247"/>
      <c r="AQ485" s="247"/>
      <c r="AR485" s="247"/>
      <c r="AS485" s="247"/>
      <c r="AT485" s="247"/>
      <c r="AU485" s="247"/>
      <c r="AW485" s="116"/>
    </row>
    <row r="486" spans="39:49" ht="24" customHeight="1">
      <c r="AM486" s="247"/>
      <c r="AN486" s="247"/>
      <c r="AO486" s="247"/>
      <c r="AP486" s="247"/>
      <c r="AQ486" s="247"/>
      <c r="AR486" s="247"/>
      <c r="AS486" s="247"/>
      <c r="AT486" s="247"/>
      <c r="AU486" s="247"/>
      <c r="AW486" s="116"/>
    </row>
    <row r="487" spans="39:49" ht="13.5" customHeight="1">
      <c r="AM487" s="247"/>
      <c r="AN487" s="247"/>
      <c r="AO487" s="247"/>
      <c r="AP487" s="247"/>
      <c r="AQ487" s="247"/>
      <c r="AR487" s="247"/>
      <c r="AS487" s="247"/>
      <c r="AT487" s="247"/>
      <c r="AU487" s="247"/>
      <c r="AW487" s="116"/>
    </row>
    <row r="488" spans="39:49" ht="24" customHeight="1">
      <c r="AM488" s="247"/>
      <c r="AN488" s="247"/>
      <c r="AO488" s="247"/>
      <c r="AP488" s="247"/>
      <c r="AQ488" s="247"/>
      <c r="AR488" s="247"/>
      <c r="AS488" s="247"/>
      <c r="AT488" s="247"/>
      <c r="AU488" s="247"/>
      <c r="AW488" s="116"/>
    </row>
    <row r="489" spans="39:49" ht="13.5" customHeight="1">
      <c r="AM489" s="247"/>
      <c r="AN489" s="247"/>
      <c r="AO489" s="247"/>
      <c r="AP489" s="247"/>
      <c r="AQ489" s="247"/>
      <c r="AR489" s="247"/>
      <c r="AS489" s="247"/>
      <c r="AT489" s="247"/>
      <c r="AU489" s="247"/>
      <c r="AW489" s="116"/>
    </row>
    <row r="490" spans="39:49" ht="24" customHeight="1">
      <c r="AM490" s="247"/>
      <c r="AN490" s="247"/>
      <c r="AO490" s="247"/>
      <c r="AP490" s="247"/>
      <c r="AQ490" s="247"/>
      <c r="AR490" s="247"/>
      <c r="AS490" s="247"/>
      <c r="AT490" s="247"/>
      <c r="AU490" s="247"/>
      <c r="AW490" s="116"/>
    </row>
    <row r="491" spans="39:49" ht="13.5" customHeight="1">
      <c r="AM491" s="247"/>
      <c r="AN491" s="247"/>
      <c r="AO491" s="247"/>
      <c r="AP491" s="247"/>
      <c r="AQ491" s="247"/>
      <c r="AR491" s="247"/>
      <c r="AS491" s="247"/>
      <c r="AT491" s="247"/>
      <c r="AU491" s="247"/>
      <c r="AW491" s="116"/>
    </row>
    <row r="492" spans="39:49" ht="24" customHeight="1">
      <c r="AM492" s="247"/>
      <c r="AN492" s="247"/>
      <c r="AO492" s="247"/>
      <c r="AP492" s="247"/>
      <c r="AQ492" s="247"/>
      <c r="AR492" s="247"/>
      <c r="AS492" s="247"/>
      <c r="AT492" s="247"/>
      <c r="AU492" s="247"/>
      <c r="AW492" s="116"/>
    </row>
    <row r="493" spans="39:49" ht="13.5" customHeight="1">
      <c r="AM493" s="247"/>
      <c r="AN493" s="247"/>
      <c r="AO493" s="247"/>
      <c r="AP493" s="247"/>
      <c r="AQ493" s="247"/>
      <c r="AR493" s="247"/>
      <c r="AS493" s="247"/>
      <c r="AT493" s="247"/>
      <c r="AU493" s="247"/>
      <c r="AW493" s="116"/>
    </row>
    <row r="494" spans="39:49" ht="24" customHeight="1">
      <c r="AM494" s="247"/>
      <c r="AN494" s="247"/>
      <c r="AO494" s="247"/>
      <c r="AP494" s="247"/>
      <c r="AQ494" s="247"/>
      <c r="AR494" s="247"/>
      <c r="AS494" s="247"/>
      <c r="AT494" s="247"/>
      <c r="AU494" s="247"/>
      <c r="AW494" s="116"/>
    </row>
    <row r="495" spans="39:49" ht="13.5" customHeight="1">
      <c r="AM495" s="247"/>
      <c r="AN495" s="247"/>
      <c r="AO495" s="247"/>
      <c r="AP495" s="247"/>
      <c r="AQ495" s="247"/>
      <c r="AR495" s="247"/>
      <c r="AS495" s="247"/>
      <c r="AT495" s="247"/>
      <c r="AU495" s="247"/>
      <c r="AW495" s="116"/>
    </row>
    <row r="496" spans="39:49" ht="24" customHeight="1">
      <c r="AM496" s="247"/>
      <c r="AN496" s="247"/>
      <c r="AO496" s="247"/>
      <c r="AP496" s="247"/>
      <c r="AQ496" s="247"/>
      <c r="AR496" s="247"/>
      <c r="AS496" s="247"/>
      <c r="AT496" s="247"/>
      <c r="AU496" s="247"/>
      <c r="AW496" s="116"/>
    </row>
    <row r="497" spans="39:49" ht="13.5" customHeight="1">
      <c r="AM497" s="247"/>
      <c r="AN497" s="247"/>
      <c r="AO497" s="247"/>
      <c r="AP497" s="247"/>
      <c r="AQ497" s="247"/>
      <c r="AR497" s="247"/>
      <c r="AS497" s="247"/>
      <c r="AT497" s="247"/>
      <c r="AU497" s="247"/>
      <c r="AW497" s="116"/>
    </row>
    <row r="498" spans="39:49" ht="24" customHeight="1">
      <c r="AM498" s="247"/>
      <c r="AN498" s="247"/>
      <c r="AO498" s="247"/>
      <c r="AP498" s="247"/>
      <c r="AQ498" s="247"/>
      <c r="AR498" s="247"/>
      <c r="AS498" s="247"/>
      <c r="AT498" s="247"/>
      <c r="AU498" s="247"/>
      <c r="AW498" s="116"/>
    </row>
    <row r="499" spans="39:49" ht="13.5" customHeight="1">
      <c r="AM499" s="247"/>
      <c r="AN499" s="247"/>
      <c r="AO499" s="247"/>
      <c r="AP499" s="247"/>
      <c r="AQ499" s="247"/>
      <c r="AR499" s="247"/>
      <c r="AS499" s="247"/>
      <c r="AT499" s="247"/>
      <c r="AU499" s="247"/>
      <c r="AW499" s="116"/>
    </row>
    <row r="500" spans="39:49" ht="24" customHeight="1">
      <c r="AM500" s="247"/>
      <c r="AN500" s="247"/>
      <c r="AO500" s="247"/>
      <c r="AP500" s="247"/>
      <c r="AQ500" s="247"/>
      <c r="AR500" s="247"/>
      <c r="AS500" s="247"/>
      <c r="AT500" s="247"/>
      <c r="AU500" s="247"/>
      <c r="AW500" s="116"/>
    </row>
    <row r="501" spans="39:49" ht="13.5" customHeight="1">
      <c r="AM501" s="247"/>
      <c r="AN501" s="247"/>
      <c r="AO501" s="247"/>
      <c r="AP501" s="247"/>
      <c r="AQ501" s="247"/>
      <c r="AR501" s="247"/>
      <c r="AS501" s="247"/>
      <c r="AT501" s="247"/>
      <c r="AU501" s="247"/>
      <c r="AW501" s="116"/>
    </row>
    <row r="502" spans="39:49" ht="24" customHeight="1">
      <c r="AM502" s="247"/>
      <c r="AN502" s="247"/>
      <c r="AO502" s="247"/>
      <c r="AP502" s="247"/>
      <c r="AQ502" s="247"/>
      <c r="AR502" s="247"/>
      <c r="AS502" s="247"/>
      <c r="AT502" s="247"/>
      <c r="AU502" s="247"/>
      <c r="AW502" s="116"/>
    </row>
    <row r="503" spans="39:49" ht="13.5" customHeight="1">
      <c r="AM503" s="247"/>
      <c r="AN503" s="247"/>
      <c r="AO503" s="247"/>
      <c r="AP503" s="247"/>
      <c r="AQ503" s="247"/>
      <c r="AR503" s="247"/>
      <c r="AS503" s="247"/>
      <c r="AT503" s="247"/>
      <c r="AU503" s="247"/>
      <c r="AW503" s="116"/>
    </row>
    <row r="504" spans="39:49" ht="24" customHeight="1">
      <c r="AM504" s="247"/>
      <c r="AN504" s="247"/>
      <c r="AO504" s="247"/>
      <c r="AP504" s="247"/>
      <c r="AQ504" s="247"/>
      <c r="AR504" s="247"/>
      <c r="AS504" s="247"/>
      <c r="AT504" s="247"/>
      <c r="AU504" s="247"/>
      <c r="AW504" s="116"/>
    </row>
    <row r="505" spans="39:49" ht="13.5" customHeight="1">
      <c r="AM505" s="247"/>
      <c r="AN505" s="247"/>
      <c r="AO505" s="247"/>
      <c r="AP505" s="247"/>
      <c r="AQ505" s="247"/>
      <c r="AR505" s="247"/>
      <c r="AS505" s="247"/>
      <c r="AT505" s="247"/>
      <c r="AU505" s="247"/>
      <c r="AW505" s="116"/>
    </row>
    <row r="506" spans="39:49" ht="24" customHeight="1">
      <c r="AM506" s="247"/>
      <c r="AN506" s="247"/>
      <c r="AO506" s="247"/>
      <c r="AP506" s="247"/>
      <c r="AQ506" s="247"/>
      <c r="AR506" s="247"/>
      <c r="AS506" s="247"/>
      <c r="AT506" s="247"/>
      <c r="AU506" s="247"/>
      <c r="AW506" s="116"/>
    </row>
    <row r="507" spans="39:49" ht="13.5" customHeight="1">
      <c r="AM507" s="247"/>
      <c r="AN507" s="247"/>
      <c r="AO507" s="247"/>
      <c r="AP507" s="247"/>
      <c r="AQ507" s="247"/>
      <c r="AR507" s="247"/>
      <c r="AS507" s="247"/>
      <c r="AT507" s="247"/>
      <c r="AU507" s="247"/>
      <c r="AW507" s="116"/>
    </row>
    <row r="508" spans="39:49" ht="24" customHeight="1">
      <c r="AM508" s="247"/>
      <c r="AN508" s="247"/>
      <c r="AO508" s="247"/>
      <c r="AP508" s="247"/>
      <c r="AQ508" s="247"/>
      <c r="AR508" s="247"/>
      <c r="AS508" s="247"/>
      <c r="AT508" s="247"/>
      <c r="AU508" s="247"/>
      <c r="AW508" s="116"/>
    </row>
    <row r="509" spans="39:49" ht="13.5" customHeight="1">
      <c r="AM509" s="247"/>
      <c r="AN509" s="247"/>
      <c r="AO509" s="247"/>
      <c r="AP509" s="247"/>
      <c r="AQ509" s="247"/>
      <c r="AR509" s="247"/>
      <c r="AS509" s="247"/>
      <c r="AT509" s="247"/>
      <c r="AU509" s="247"/>
      <c r="AW509" s="116"/>
    </row>
    <row r="510" spans="39:49" ht="24" customHeight="1">
      <c r="AM510" s="247"/>
      <c r="AN510" s="247"/>
      <c r="AO510" s="247"/>
      <c r="AP510" s="247"/>
      <c r="AQ510" s="247"/>
      <c r="AR510" s="247"/>
      <c r="AS510" s="247"/>
      <c r="AT510" s="247"/>
      <c r="AU510" s="247"/>
      <c r="AW510" s="116"/>
    </row>
    <row r="511" spans="39:49" ht="13.5" customHeight="1">
      <c r="AM511" s="247"/>
      <c r="AN511" s="247"/>
      <c r="AO511" s="247"/>
      <c r="AP511" s="247"/>
      <c r="AQ511" s="247"/>
      <c r="AR511" s="247"/>
      <c r="AS511" s="247"/>
      <c r="AT511" s="247"/>
      <c r="AU511" s="247"/>
      <c r="AW511" s="116"/>
    </row>
    <row r="512" spans="39:49" ht="24" customHeight="1">
      <c r="AM512" s="247"/>
      <c r="AN512" s="247"/>
      <c r="AO512" s="247"/>
      <c r="AP512" s="247"/>
      <c r="AQ512" s="247"/>
      <c r="AR512" s="247"/>
      <c r="AS512" s="247"/>
      <c r="AT512" s="247"/>
      <c r="AU512" s="247"/>
      <c r="AW512" s="116"/>
    </row>
    <row r="513" spans="39:49" ht="13.5" customHeight="1">
      <c r="AM513" s="247"/>
      <c r="AN513" s="247"/>
      <c r="AO513" s="247"/>
      <c r="AP513" s="247"/>
      <c r="AQ513" s="247"/>
      <c r="AR513" s="247"/>
      <c r="AS513" s="247"/>
      <c r="AT513" s="247"/>
      <c r="AU513" s="247"/>
      <c r="AW513" s="116"/>
    </row>
    <row r="514" spans="39:49" ht="24" customHeight="1">
      <c r="AM514" s="247"/>
      <c r="AN514" s="247"/>
      <c r="AO514" s="247"/>
      <c r="AP514" s="247"/>
      <c r="AQ514" s="247"/>
      <c r="AR514" s="247"/>
      <c r="AS514" s="247"/>
      <c r="AT514" s="247"/>
      <c r="AU514" s="247"/>
      <c r="AW514" s="116"/>
    </row>
    <row r="515" spans="39:49" ht="13.5" customHeight="1">
      <c r="AM515" s="247"/>
      <c r="AN515" s="247"/>
      <c r="AO515" s="247"/>
      <c r="AP515" s="247"/>
      <c r="AQ515" s="247"/>
      <c r="AR515" s="247"/>
      <c r="AS515" s="247"/>
      <c r="AT515" s="247"/>
      <c r="AU515" s="247"/>
      <c r="AW515" s="116"/>
    </row>
    <row r="516" spans="39:49" ht="24" customHeight="1">
      <c r="AM516" s="247"/>
      <c r="AN516" s="247"/>
      <c r="AO516" s="247"/>
      <c r="AP516" s="247"/>
      <c r="AQ516" s="247"/>
      <c r="AR516" s="247"/>
      <c r="AS516" s="247"/>
      <c r="AT516" s="247"/>
      <c r="AU516" s="247"/>
      <c r="AW516" s="116"/>
    </row>
    <row r="517" spans="39:49" ht="13.5" customHeight="1">
      <c r="AM517" s="247"/>
      <c r="AN517" s="247"/>
      <c r="AO517" s="247"/>
      <c r="AP517" s="247"/>
      <c r="AQ517" s="247"/>
      <c r="AR517" s="247"/>
      <c r="AS517" s="247"/>
      <c r="AT517" s="247"/>
      <c r="AU517" s="247"/>
      <c r="AW517" s="116"/>
    </row>
    <row r="518" spans="39:49" ht="24" customHeight="1">
      <c r="AM518" s="247"/>
      <c r="AN518" s="247"/>
      <c r="AO518" s="247"/>
      <c r="AP518" s="247"/>
      <c r="AQ518" s="247"/>
      <c r="AR518" s="247"/>
      <c r="AS518" s="247"/>
      <c r="AT518" s="247"/>
      <c r="AU518" s="247"/>
      <c r="AW518" s="116"/>
    </row>
    <row r="519" spans="39:49" ht="13.5" customHeight="1">
      <c r="AM519" s="247"/>
      <c r="AN519" s="247"/>
      <c r="AO519" s="247"/>
      <c r="AP519" s="247"/>
      <c r="AQ519" s="247"/>
      <c r="AR519" s="247"/>
      <c r="AS519" s="247"/>
      <c r="AT519" s="247"/>
      <c r="AU519" s="247"/>
      <c r="AW519" s="116"/>
    </row>
    <row r="520" spans="39:49" ht="24" customHeight="1">
      <c r="AM520" s="247"/>
      <c r="AN520" s="247"/>
      <c r="AO520" s="247"/>
      <c r="AP520" s="247"/>
      <c r="AQ520" s="247"/>
      <c r="AR520" s="247"/>
      <c r="AS520" s="247"/>
      <c r="AT520" s="247"/>
      <c r="AU520" s="247"/>
      <c r="AW520" s="116"/>
    </row>
    <row r="521" spans="39:49" ht="13.5" customHeight="1">
      <c r="AM521" s="247"/>
      <c r="AN521" s="247"/>
      <c r="AO521" s="247"/>
      <c r="AP521" s="247"/>
      <c r="AQ521" s="247"/>
      <c r="AR521" s="247"/>
      <c r="AS521" s="247"/>
      <c r="AT521" s="247"/>
      <c r="AU521" s="247"/>
      <c r="AW521" s="116"/>
    </row>
    <row r="522" spans="39:49" ht="24" customHeight="1">
      <c r="AM522" s="247"/>
      <c r="AN522" s="247"/>
      <c r="AO522" s="247"/>
      <c r="AP522" s="247"/>
      <c r="AQ522" s="247"/>
      <c r="AR522" s="247"/>
      <c r="AS522" s="247"/>
      <c r="AT522" s="247"/>
      <c r="AU522" s="247"/>
      <c r="AW522" s="116"/>
    </row>
    <row r="523" spans="39:49" ht="13.5" customHeight="1">
      <c r="AM523" s="247"/>
      <c r="AN523" s="247"/>
      <c r="AO523" s="247"/>
      <c r="AP523" s="247"/>
      <c r="AQ523" s="247"/>
      <c r="AR523" s="247"/>
      <c r="AS523" s="247"/>
      <c r="AT523" s="247"/>
      <c r="AU523" s="247"/>
      <c r="AW523" s="116"/>
    </row>
    <row r="524" spans="39:49" ht="24" customHeight="1">
      <c r="AM524" s="247"/>
      <c r="AN524" s="247"/>
      <c r="AO524" s="247"/>
      <c r="AP524" s="247"/>
      <c r="AQ524" s="247"/>
      <c r="AR524" s="247"/>
      <c r="AS524" s="247"/>
      <c r="AT524" s="247"/>
      <c r="AU524" s="247"/>
      <c r="AW524" s="116"/>
    </row>
    <row r="525" spans="39:49" ht="13.5" customHeight="1">
      <c r="AM525" s="247"/>
      <c r="AN525" s="247"/>
      <c r="AO525" s="247"/>
      <c r="AP525" s="247"/>
      <c r="AQ525" s="247"/>
      <c r="AR525" s="247"/>
      <c r="AS525" s="247"/>
      <c r="AT525" s="247"/>
      <c r="AU525" s="247"/>
      <c r="AW525" s="116"/>
    </row>
    <row r="526" spans="39:49" ht="24" customHeight="1">
      <c r="AM526" s="247"/>
      <c r="AN526" s="247"/>
      <c r="AO526" s="247"/>
      <c r="AP526" s="247"/>
      <c r="AQ526" s="247"/>
      <c r="AR526" s="247"/>
      <c r="AS526" s="247"/>
      <c r="AT526" s="247"/>
      <c r="AU526" s="247"/>
      <c r="AW526" s="116"/>
    </row>
    <row r="527" spans="39:49" ht="13.5" customHeight="1">
      <c r="AM527" s="247"/>
      <c r="AN527" s="247"/>
      <c r="AO527" s="247"/>
      <c r="AP527" s="247"/>
      <c r="AQ527" s="247"/>
      <c r="AR527" s="247"/>
      <c r="AS527" s="247"/>
      <c r="AT527" s="247"/>
      <c r="AU527" s="247"/>
      <c r="AW527" s="116"/>
    </row>
    <row r="528" spans="39:49" ht="24" customHeight="1">
      <c r="AM528" s="247"/>
      <c r="AN528" s="247"/>
      <c r="AO528" s="247"/>
      <c r="AP528" s="247"/>
      <c r="AQ528" s="247"/>
      <c r="AR528" s="247"/>
      <c r="AS528" s="247"/>
      <c r="AT528" s="247"/>
      <c r="AU528" s="247"/>
      <c r="AW528" s="116"/>
    </row>
    <row r="529" spans="39:49" ht="13.5" customHeight="1">
      <c r="AM529" s="247"/>
      <c r="AN529" s="247"/>
      <c r="AO529" s="247"/>
      <c r="AP529" s="247"/>
      <c r="AQ529" s="247"/>
      <c r="AR529" s="247"/>
      <c r="AS529" s="247"/>
      <c r="AT529" s="247"/>
      <c r="AU529" s="247"/>
      <c r="AW529" s="116"/>
    </row>
    <row r="530" spans="39:49" ht="24" customHeight="1">
      <c r="AM530" s="247"/>
      <c r="AN530" s="247"/>
      <c r="AO530" s="247"/>
      <c r="AP530" s="247"/>
      <c r="AQ530" s="247"/>
      <c r="AR530" s="247"/>
      <c r="AS530" s="247"/>
      <c r="AT530" s="247"/>
      <c r="AU530" s="247"/>
      <c r="AW530" s="116"/>
    </row>
    <row r="531" spans="39:49" ht="13.5" customHeight="1">
      <c r="AM531" s="247"/>
      <c r="AN531" s="247"/>
      <c r="AO531" s="247"/>
      <c r="AP531" s="247"/>
      <c r="AQ531" s="247"/>
      <c r="AR531" s="247"/>
      <c r="AS531" s="247"/>
      <c r="AT531" s="247"/>
      <c r="AU531" s="247"/>
      <c r="AW531" s="116"/>
    </row>
    <row r="532" spans="39:49" ht="24" customHeight="1">
      <c r="AM532" s="247"/>
      <c r="AN532" s="247"/>
      <c r="AO532" s="247"/>
      <c r="AP532" s="247"/>
      <c r="AQ532" s="247"/>
      <c r="AR532" s="247"/>
      <c r="AS532" s="247"/>
      <c r="AT532" s="247"/>
      <c r="AU532" s="247"/>
      <c r="AW532" s="116"/>
    </row>
    <row r="533" spans="39:49" ht="13.5" customHeight="1">
      <c r="AM533" s="247"/>
      <c r="AN533" s="247"/>
      <c r="AO533" s="247"/>
      <c r="AP533" s="247"/>
      <c r="AQ533" s="247"/>
      <c r="AR533" s="247"/>
      <c r="AS533" s="247"/>
      <c r="AT533" s="247"/>
      <c r="AU533" s="247"/>
      <c r="AW533" s="116"/>
    </row>
    <row r="534" spans="39:49" ht="24" customHeight="1">
      <c r="AM534" s="247"/>
      <c r="AN534" s="247"/>
      <c r="AO534" s="247"/>
      <c r="AP534" s="247"/>
      <c r="AQ534" s="247"/>
      <c r="AR534" s="247"/>
      <c r="AS534" s="247"/>
      <c r="AT534" s="247"/>
      <c r="AU534" s="247"/>
      <c r="AW534" s="116"/>
    </row>
    <row r="535" spans="39:49" ht="13.5" customHeight="1">
      <c r="AM535" s="247"/>
      <c r="AN535" s="247"/>
      <c r="AO535" s="247"/>
      <c r="AP535" s="247"/>
      <c r="AQ535" s="247"/>
      <c r="AR535" s="247"/>
      <c r="AS535" s="247"/>
      <c r="AT535" s="247"/>
      <c r="AU535" s="247"/>
      <c r="AW535" s="116"/>
    </row>
    <row r="536" spans="39:49" ht="24" customHeight="1">
      <c r="AM536" s="247"/>
      <c r="AN536" s="247"/>
      <c r="AO536" s="247"/>
      <c r="AP536" s="247"/>
      <c r="AQ536" s="247"/>
      <c r="AR536" s="247"/>
      <c r="AS536" s="247"/>
      <c r="AT536" s="247"/>
      <c r="AU536" s="247"/>
      <c r="AW536" s="116"/>
    </row>
    <row r="537" spans="39:49" ht="13.5" customHeight="1">
      <c r="AM537" s="247"/>
      <c r="AN537" s="247"/>
      <c r="AO537" s="247"/>
      <c r="AP537" s="247"/>
      <c r="AQ537" s="247"/>
      <c r="AR537" s="247"/>
      <c r="AS537" s="247"/>
      <c r="AT537" s="247"/>
      <c r="AU537" s="247"/>
      <c r="AW537" s="116"/>
    </row>
    <row r="538" spans="39:49" ht="24" customHeight="1">
      <c r="AM538" s="247"/>
      <c r="AN538" s="247"/>
      <c r="AO538" s="247"/>
      <c r="AP538" s="247"/>
      <c r="AQ538" s="247"/>
      <c r="AR538" s="247"/>
      <c r="AS538" s="247"/>
      <c r="AT538" s="247"/>
      <c r="AU538" s="247"/>
      <c r="AW538" s="116"/>
    </row>
    <row r="539" spans="39:49" ht="13.5" customHeight="1">
      <c r="AM539" s="247"/>
      <c r="AN539" s="247"/>
      <c r="AO539" s="247"/>
      <c r="AP539" s="247"/>
      <c r="AQ539" s="247"/>
      <c r="AR539" s="247"/>
      <c r="AS539" s="247"/>
      <c r="AT539" s="247"/>
      <c r="AU539" s="247"/>
      <c r="AW539" s="116"/>
    </row>
    <row r="540" spans="39:49" ht="24" customHeight="1">
      <c r="AM540" s="247"/>
      <c r="AN540" s="247"/>
      <c r="AO540" s="247"/>
      <c r="AP540" s="247"/>
      <c r="AQ540" s="247"/>
      <c r="AR540" s="247"/>
      <c r="AS540" s="247"/>
      <c r="AT540" s="247"/>
      <c r="AU540" s="247"/>
      <c r="AW540" s="116"/>
    </row>
    <row r="541" spans="39:49" ht="13.5" customHeight="1">
      <c r="AM541" s="247"/>
      <c r="AN541" s="247"/>
      <c r="AO541" s="247"/>
      <c r="AP541" s="247"/>
      <c r="AQ541" s="247"/>
      <c r="AR541" s="247"/>
      <c r="AS541" s="247"/>
      <c r="AT541" s="247"/>
      <c r="AU541" s="247"/>
      <c r="AW541" s="116"/>
    </row>
    <row r="542" spans="39:49" ht="24" customHeight="1">
      <c r="AM542" s="247"/>
      <c r="AN542" s="247"/>
      <c r="AO542" s="247"/>
      <c r="AP542" s="247"/>
      <c r="AQ542" s="247"/>
      <c r="AR542" s="247"/>
      <c r="AS542" s="247"/>
      <c r="AT542" s="247"/>
      <c r="AU542" s="247"/>
      <c r="AW542" s="116"/>
    </row>
    <row r="543" spans="39:49" ht="13.5" customHeight="1">
      <c r="AM543" s="247"/>
      <c r="AN543" s="247"/>
      <c r="AO543" s="247"/>
      <c r="AP543" s="247"/>
      <c r="AQ543" s="247"/>
      <c r="AR543" s="247"/>
      <c r="AS543" s="247"/>
      <c r="AT543" s="247"/>
      <c r="AU543" s="247"/>
      <c r="AW543" s="116"/>
    </row>
    <row r="544" spans="39:49" ht="24" customHeight="1">
      <c r="AM544" s="247"/>
      <c r="AN544" s="247"/>
      <c r="AO544" s="247"/>
      <c r="AP544" s="247"/>
      <c r="AQ544" s="247"/>
      <c r="AR544" s="247"/>
      <c r="AS544" s="247"/>
      <c r="AT544" s="247"/>
      <c r="AU544" s="247"/>
      <c r="AW544" s="116"/>
    </row>
    <row r="545" spans="39:49" ht="13.5" customHeight="1">
      <c r="AM545" s="247"/>
      <c r="AN545" s="247"/>
      <c r="AO545" s="247"/>
      <c r="AP545" s="247"/>
      <c r="AQ545" s="247"/>
      <c r="AR545" s="247"/>
      <c r="AS545" s="247"/>
      <c r="AT545" s="247"/>
      <c r="AU545" s="247"/>
      <c r="AW545" s="116"/>
    </row>
    <row r="546" spans="39:49" ht="24" customHeight="1">
      <c r="AM546" s="247"/>
      <c r="AN546" s="247"/>
      <c r="AO546" s="247"/>
      <c r="AP546" s="247"/>
      <c r="AQ546" s="247"/>
      <c r="AR546" s="247"/>
      <c r="AS546" s="247"/>
      <c r="AT546" s="247"/>
      <c r="AU546" s="247"/>
      <c r="AW546" s="116"/>
    </row>
    <row r="547" spans="39:49" ht="13.5" customHeight="1">
      <c r="AM547" s="247"/>
      <c r="AN547" s="247"/>
      <c r="AO547" s="247"/>
      <c r="AP547" s="247"/>
      <c r="AQ547" s="247"/>
      <c r="AR547" s="247"/>
      <c r="AS547" s="247"/>
      <c r="AT547" s="247"/>
      <c r="AU547" s="247"/>
      <c r="AW547" s="116"/>
    </row>
    <row r="548" spans="39:49" ht="24" customHeight="1">
      <c r="AM548" s="247"/>
      <c r="AN548" s="247"/>
      <c r="AO548" s="247"/>
      <c r="AP548" s="247"/>
      <c r="AQ548" s="247"/>
      <c r="AR548" s="247"/>
      <c r="AS548" s="247"/>
      <c r="AT548" s="247"/>
      <c r="AU548" s="247"/>
      <c r="AW548" s="116"/>
    </row>
    <row r="549" spans="39:49" ht="13.5" customHeight="1">
      <c r="AM549" s="247"/>
      <c r="AN549" s="247"/>
      <c r="AO549" s="247"/>
      <c r="AP549" s="247"/>
      <c r="AQ549" s="247"/>
      <c r="AR549" s="247"/>
      <c r="AS549" s="247"/>
      <c r="AT549" s="247"/>
      <c r="AU549" s="247"/>
      <c r="AW549" s="116"/>
    </row>
    <row r="550" spans="39:49" ht="24" customHeight="1">
      <c r="AM550" s="247"/>
      <c r="AN550" s="247"/>
      <c r="AO550" s="247"/>
      <c r="AP550" s="247"/>
      <c r="AQ550" s="247"/>
      <c r="AR550" s="247"/>
      <c r="AS550" s="247"/>
      <c r="AT550" s="247"/>
      <c r="AU550" s="247"/>
      <c r="AW550" s="116"/>
    </row>
    <row r="551" spans="39:49" ht="13.5" customHeight="1">
      <c r="AM551" s="247"/>
      <c r="AN551" s="247"/>
      <c r="AO551" s="247"/>
      <c r="AP551" s="247"/>
      <c r="AQ551" s="247"/>
      <c r="AR551" s="247"/>
      <c r="AS551" s="247"/>
      <c r="AT551" s="247"/>
      <c r="AU551" s="247"/>
      <c r="AW551" s="116"/>
    </row>
    <row r="552" spans="39:49" ht="24" customHeight="1">
      <c r="AM552" s="247"/>
      <c r="AN552" s="247"/>
      <c r="AO552" s="247"/>
      <c r="AP552" s="247"/>
      <c r="AQ552" s="247"/>
      <c r="AR552" s="247"/>
      <c r="AS552" s="247"/>
      <c r="AT552" s="247"/>
      <c r="AU552" s="247"/>
      <c r="AW552" s="116"/>
    </row>
    <row r="553" spans="39:49" ht="13.5" customHeight="1">
      <c r="AM553" s="247"/>
      <c r="AN553" s="247"/>
      <c r="AO553" s="247"/>
      <c r="AP553" s="247"/>
      <c r="AQ553" s="247"/>
      <c r="AR553" s="247"/>
      <c r="AS553" s="247"/>
      <c r="AT553" s="247"/>
      <c r="AU553" s="247"/>
      <c r="AW553" s="116"/>
    </row>
    <row r="554" spans="39:49" ht="24" customHeight="1">
      <c r="AM554" s="247"/>
      <c r="AN554" s="247"/>
      <c r="AO554" s="247"/>
      <c r="AP554" s="247"/>
      <c r="AQ554" s="247"/>
      <c r="AR554" s="247"/>
      <c r="AS554" s="247"/>
      <c r="AT554" s="247"/>
      <c r="AU554" s="247"/>
      <c r="AW554" s="116"/>
    </row>
    <row r="555" spans="39:49" ht="13.5" customHeight="1">
      <c r="AM555" s="247"/>
      <c r="AN555" s="247"/>
      <c r="AO555" s="247"/>
      <c r="AP555" s="247"/>
      <c r="AQ555" s="247"/>
      <c r="AR555" s="247"/>
      <c r="AS555" s="247"/>
      <c r="AT555" s="247"/>
      <c r="AU555" s="247"/>
      <c r="AW555" s="116"/>
    </row>
    <row r="556" spans="39:49" ht="24" customHeight="1">
      <c r="AM556" s="247"/>
      <c r="AN556" s="247"/>
      <c r="AO556" s="247"/>
      <c r="AP556" s="247"/>
      <c r="AQ556" s="247"/>
      <c r="AR556" s="247"/>
      <c r="AS556" s="247"/>
      <c r="AT556" s="247"/>
      <c r="AU556" s="247"/>
      <c r="AW556" s="116"/>
    </row>
    <row r="557" spans="39:49" ht="13.5" customHeight="1">
      <c r="AM557" s="247"/>
      <c r="AN557" s="247"/>
      <c r="AO557" s="247"/>
      <c r="AP557" s="247"/>
      <c r="AQ557" s="247"/>
      <c r="AR557" s="247"/>
      <c r="AS557" s="247"/>
      <c r="AT557" s="247"/>
      <c r="AU557" s="247"/>
      <c r="AW557" s="116"/>
    </row>
    <row r="558" spans="39:49" ht="24" customHeight="1">
      <c r="AM558" s="247"/>
      <c r="AN558" s="247"/>
      <c r="AO558" s="247"/>
      <c r="AP558" s="247"/>
      <c r="AQ558" s="247"/>
      <c r="AR558" s="247"/>
      <c r="AS558" s="247"/>
      <c r="AT558" s="247"/>
      <c r="AU558" s="247"/>
      <c r="AW558" s="116"/>
    </row>
    <row r="559" spans="39:49" ht="13.5" customHeight="1">
      <c r="AM559" s="247"/>
      <c r="AN559" s="247"/>
      <c r="AO559" s="247"/>
      <c r="AP559" s="247"/>
      <c r="AQ559" s="247"/>
      <c r="AR559" s="247"/>
      <c r="AS559" s="247"/>
      <c r="AT559" s="247"/>
      <c r="AU559" s="247"/>
      <c r="AW559" s="116"/>
    </row>
    <row r="560" spans="39:49" ht="24" customHeight="1">
      <c r="AM560" s="247"/>
      <c r="AN560" s="247"/>
      <c r="AO560" s="247"/>
      <c r="AP560" s="247"/>
      <c r="AQ560" s="247"/>
      <c r="AR560" s="247"/>
      <c r="AS560" s="247"/>
      <c r="AT560" s="247"/>
      <c r="AU560" s="247"/>
      <c r="AW560" s="116"/>
    </row>
    <row r="561" spans="39:49" ht="13.5" customHeight="1">
      <c r="AM561" s="247"/>
      <c r="AN561" s="247"/>
      <c r="AO561" s="247"/>
      <c r="AP561" s="247"/>
      <c r="AQ561" s="247"/>
      <c r="AR561" s="247"/>
      <c r="AS561" s="247"/>
      <c r="AT561" s="247"/>
      <c r="AU561" s="247"/>
      <c r="AW561" s="116"/>
    </row>
    <row r="562" spans="39:49" ht="24" customHeight="1">
      <c r="AM562" s="247"/>
      <c r="AN562" s="247"/>
      <c r="AO562" s="247"/>
      <c r="AP562" s="247"/>
      <c r="AQ562" s="247"/>
      <c r="AR562" s="247"/>
      <c r="AS562" s="247"/>
      <c r="AT562" s="247"/>
      <c r="AU562" s="247"/>
      <c r="AW562" s="116"/>
    </row>
    <row r="563" spans="39:49" ht="13.5" customHeight="1">
      <c r="AM563" s="247"/>
      <c r="AN563" s="247"/>
      <c r="AO563" s="247"/>
      <c r="AP563" s="247"/>
      <c r="AQ563" s="247"/>
      <c r="AR563" s="247"/>
      <c r="AS563" s="247"/>
      <c r="AT563" s="247"/>
      <c r="AU563" s="247"/>
      <c r="AW563" s="116"/>
    </row>
    <row r="564" spans="39:49" ht="24" customHeight="1">
      <c r="AM564" s="247"/>
      <c r="AN564" s="247"/>
      <c r="AO564" s="247"/>
      <c r="AP564" s="247"/>
      <c r="AQ564" s="247"/>
      <c r="AR564" s="247"/>
      <c r="AS564" s="247"/>
      <c r="AT564" s="247"/>
      <c r="AU564" s="247"/>
      <c r="AW564" s="116"/>
    </row>
    <row r="565" spans="39:49" ht="13.5" customHeight="1">
      <c r="AM565" s="247"/>
      <c r="AN565" s="247"/>
      <c r="AO565" s="247"/>
      <c r="AP565" s="247"/>
      <c r="AQ565" s="247"/>
      <c r="AR565" s="247"/>
      <c r="AS565" s="247"/>
      <c r="AT565" s="247"/>
      <c r="AU565" s="247"/>
      <c r="AW565" s="116"/>
    </row>
    <row r="566" spans="39:49" ht="24" customHeight="1">
      <c r="AM566" s="247"/>
      <c r="AN566" s="247"/>
      <c r="AO566" s="247"/>
      <c r="AP566" s="247"/>
      <c r="AQ566" s="247"/>
      <c r="AR566" s="247"/>
      <c r="AS566" s="247"/>
      <c r="AT566" s="247"/>
      <c r="AU566" s="247"/>
      <c r="AW566" s="116"/>
    </row>
    <row r="567" spans="39:49" ht="13.5" customHeight="1">
      <c r="AM567" s="247"/>
      <c r="AN567" s="247"/>
      <c r="AO567" s="247"/>
      <c r="AP567" s="247"/>
      <c r="AQ567" s="247"/>
      <c r="AR567" s="247"/>
      <c r="AS567" s="247"/>
      <c r="AT567" s="247"/>
      <c r="AU567" s="247"/>
      <c r="AW567" s="116"/>
    </row>
    <row r="568" spans="39:49" ht="24" customHeight="1">
      <c r="AM568" s="247"/>
      <c r="AN568" s="247"/>
      <c r="AO568" s="247"/>
      <c r="AP568" s="247"/>
      <c r="AQ568" s="247"/>
      <c r="AR568" s="247"/>
      <c r="AS568" s="247"/>
      <c r="AT568" s="247"/>
      <c r="AU568" s="247"/>
      <c r="AW568" s="116"/>
    </row>
    <row r="569" spans="39:49" ht="13.5" customHeight="1">
      <c r="AM569" s="247"/>
      <c r="AN569" s="247"/>
      <c r="AO569" s="247"/>
      <c r="AP569" s="247"/>
      <c r="AQ569" s="247"/>
      <c r="AR569" s="247"/>
      <c r="AS569" s="247"/>
      <c r="AT569" s="247"/>
      <c r="AU569" s="247"/>
      <c r="AW569" s="116"/>
    </row>
    <row r="570" spans="39:49" ht="24" customHeight="1">
      <c r="AM570" s="247"/>
      <c r="AN570" s="247"/>
      <c r="AO570" s="247"/>
      <c r="AP570" s="247"/>
      <c r="AQ570" s="247"/>
      <c r="AR570" s="247"/>
      <c r="AS570" s="247"/>
      <c r="AT570" s="247"/>
      <c r="AU570" s="247"/>
      <c r="AW570" s="116"/>
    </row>
    <row r="571" spans="39:49" ht="13.5" customHeight="1">
      <c r="AM571" s="247"/>
      <c r="AN571" s="247"/>
      <c r="AO571" s="247"/>
      <c r="AP571" s="247"/>
      <c r="AQ571" s="247"/>
      <c r="AR571" s="247"/>
      <c r="AS571" s="247"/>
      <c r="AT571" s="247"/>
      <c r="AU571" s="247"/>
      <c r="AW571" s="116"/>
    </row>
    <row r="572" spans="39:49" ht="24" customHeight="1">
      <c r="AM572" s="247"/>
      <c r="AN572" s="247"/>
      <c r="AO572" s="247"/>
      <c r="AP572" s="247"/>
      <c r="AQ572" s="247"/>
      <c r="AR572" s="247"/>
      <c r="AS572" s="247"/>
      <c r="AT572" s="247"/>
      <c r="AU572" s="247"/>
      <c r="AW572" s="116"/>
    </row>
    <row r="573" spans="39:49" ht="13.5" customHeight="1">
      <c r="AM573" s="247"/>
      <c r="AN573" s="247"/>
      <c r="AO573" s="247"/>
      <c r="AP573" s="247"/>
      <c r="AQ573" s="247"/>
      <c r="AR573" s="247"/>
      <c r="AS573" s="247"/>
      <c r="AT573" s="247"/>
      <c r="AU573" s="247"/>
      <c r="AW573" s="116"/>
    </row>
    <row r="574" spans="39:49" ht="24" customHeight="1">
      <c r="AM574" s="247"/>
      <c r="AN574" s="247"/>
      <c r="AO574" s="247"/>
      <c r="AP574" s="247"/>
      <c r="AQ574" s="247"/>
      <c r="AR574" s="247"/>
      <c r="AS574" s="247"/>
      <c r="AT574" s="247"/>
      <c r="AU574" s="247"/>
      <c r="AW574" s="116"/>
    </row>
    <row r="575" spans="39:49" ht="13.5" customHeight="1">
      <c r="AM575" s="247"/>
      <c r="AN575" s="247"/>
      <c r="AO575" s="247"/>
      <c r="AP575" s="247"/>
      <c r="AQ575" s="247"/>
      <c r="AR575" s="247"/>
      <c r="AS575" s="247"/>
      <c r="AT575" s="247"/>
      <c r="AU575" s="247"/>
      <c r="AW575" s="116"/>
    </row>
    <row r="576" spans="39:49" ht="24" customHeight="1">
      <c r="AM576" s="247"/>
      <c r="AN576" s="247"/>
      <c r="AO576" s="247"/>
      <c r="AP576" s="247"/>
      <c r="AQ576" s="247"/>
      <c r="AR576" s="247"/>
      <c r="AS576" s="247"/>
      <c r="AT576" s="247"/>
      <c r="AU576" s="247"/>
      <c r="AW576" s="116"/>
    </row>
    <row r="577" spans="39:49" ht="13.5" customHeight="1">
      <c r="AM577" s="247"/>
      <c r="AN577" s="247"/>
      <c r="AO577" s="247"/>
      <c r="AP577" s="247"/>
      <c r="AQ577" s="247"/>
      <c r="AR577" s="247"/>
      <c r="AS577" s="247"/>
      <c r="AT577" s="247"/>
      <c r="AU577" s="247"/>
      <c r="AW577" s="116"/>
    </row>
    <row r="578" spans="39:49" ht="24" customHeight="1">
      <c r="AM578" s="247"/>
      <c r="AN578" s="247"/>
      <c r="AO578" s="247"/>
      <c r="AP578" s="247"/>
      <c r="AQ578" s="247"/>
      <c r="AR578" s="247"/>
      <c r="AS578" s="247"/>
      <c r="AT578" s="247"/>
      <c r="AU578" s="247"/>
      <c r="AW578" s="116"/>
    </row>
    <row r="579" spans="39:49" ht="13.5" customHeight="1">
      <c r="AM579" s="247"/>
      <c r="AN579" s="247"/>
      <c r="AO579" s="247"/>
      <c r="AP579" s="247"/>
      <c r="AQ579" s="247"/>
      <c r="AR579" s="247"/>
      <c r="AS579" s="247"/>
      <c r="AT579" s="247"/>
      <c r="AU579" s="247"/>
      <c r="AW579" s="116"/>
    </row>
    <row r="580" spans="39:49" ht="24" customHeight="1">
      <c r="AM580" s="247"/>
      <c r="AN580" s="247"/>
      <c r="AO580" s="247"/>
      <c r="AP580" s="247"/>
      <c r="AQ580" s="247"/>
      <c r="AR580" s="247"/>
      <c r="AS580" s="247"/>
      <c r="AT580" s="247"/>
      <c r="AU580" s="247"/>
      <c r="AW580" s="116"/>
    </row>
    <row r="581" spans="39:49" ht="13.5" customHeight="1">
      <c r="AM581" s="247"/>
      <c r="AN581" s="247"/>
      <c r="AO581" s="247"/>
      <c r="AP581" s="247"/>
      <c r="AQ581" s="247"/>
      <c r="AR581" s="247"/>
      <c r="AS581" s="247"/>
      <c r="AT581" s="247"/>
      <c r="AU581" s="247"/>
      <c r="AW581" s="116"/>
    </row>
    <row r="582" spans="39:49" ht="24" customHeight="1">
      <c r="AM582" s="247"/>
      <c r="AN582" s="247"/>
      <c r="AO582" s="247"/>
      <c r="AP582" s="247"/>
      <c r="AQ582" s="247"/>
      <c r="AR582" s="247"/>
      <c r="AS582" s="247"/>
      <c r="AT582" s="247"/>
      <c r="AU582" s="247"/>
      <c r="AW582" s="116"/>
    </row>
    <row r="583" spans="39:49" ht="13.5" customHeight="1">
      <c r="AM583" s="247"/>
      <c r="AN583" s="247"/>
      <c r="AO583" s="247"/>
      <c r="AP583" s="247"/>
      <c r="AQ583" s="247"/>
      <c r="AR583" s="247"/>
      <c r="AS583" s="247"/>
      <c r="AT583" s="247"/>
      <c r="AU583" s="247"/>
      <c r="AW583" s="116"/>
    </row>
    <row r="584" spans="39:49" ht="24" customHeight="1">
      <c r="AM584" s="247"/>
      <c r="AN584" s="247"/>
      <c r="AO584" s="247"/>
      <c r="AP584" s="247"/>
      <c r="AQ584" s="247"/>
      <c r="AR584" s="247"/>
      <c r="AS584" s="247"/>
      <c r="AT584" s="247"/>
      <c r="AU584" s="247"/>
      <c r="AW584" s="116"/>
    </row>
    <row r="585" spans="39:49" ht="13.5" customHeight="1">
      <c r="AM585" s="247"/>
      <c r="AN585" s="247"/>
      <c r="AO585" s="247"/>
      <c r="AP585" s="247"/>
      <c r="AQ585" s="247"/>
      <c r="AR585" s="247"/>
      <c r="AS585" s="247"/>
      <c r="AT585" s="247"/>
      <c r="AU585" s="247"/>
      <c r="AW585" s="116"/>
    </row>
    <row r="586" spans="39:49" ht="24" customHeight="1">
      <c r="AM586" s="247"/>
      <c r="AN586" s="247"/>
      <c r="AO586" s="247"/>
      <c r="AP586" s="247"/>
      <c r="AQ586" s="247"/>
      <c r="AR586" s="247"/>
      <c r="AS586" s="247"/>
      <c r="AT586" s="247"/>
      <c r="AU586" s="247"/>
      <c r="AW586" s="116"/>
    </row>
    <row r="587" spans="39:49" ht="13.5" customHeight="1">
      <c r="AM587" s="247"/>
      <c r="AN587" s="247"/>
      <c r="AO587" s="247"/>
      <c r="AP587" s="247"/>
      <c r="AQ587" s="247"/>
      <c r="AR587" s="247"/>
      <c r="AS587" s="247"/>
      <c r="AT587" s="247"/>
      <c r="AU587" s="247"/>
      <c r="AW587" s="116"/>
    </row>
    <row r="588" spans="39:49" ht="24" customHeight="1">
      <c r="AM588" s="247"/>
      <c r="AN588" s="247"/>
      <c r="AO588" s="247"/>
      <c r="AP588" s="247"/>
      <c r="AQ588" s="247"/>
      <c r="AR588" s="247"/>
      <c r="AS588" s="247"/>
      <c r="AT588" s="247"/>
      <c r="AU588" s="247"/>
      <c r="AW588" s="116"/>
    </row>
    <row r="589" spans="39:49" ht="13.5" customHeight="1">
      <c r="AM589" s="247"/>
      <c r="AN589" s="247"/>
      <c r="AO589" s="247"/>
      <c r="AP589" s="247"/>
      <c r="AQ589" s="247"/>
      <c r="AR589" s="247"/>
      <c r="AS589" s="247"/>
      <c r="AT589" s="247"/>
      <c r="AU589" s="247"/>
      <c r="AW589" s="116"/>
    </row>
    <row r="590" spans="39:49" ht="24" customHeight="1">
      <c r="AM590" s="247"/>
      <c r="AN590" s="247"/>
      <c r="AO590" s="247"/>
      <c r="AP590" s="247"/>
      <c r="AQ590" s="247"/>
      <c r="AR590" s="247"/>
      <c r="AS590" s="247"/>
      <c r="AT590" s="247"/>
      <c r="AU590" s="247"/>
      <c r="AW590" s="116"/>
    </row>
    <row r="591" spans="39:49" ht="13.5" customHeight="1">
      <c r="AM591" s="247"/>
      <c r="AN591" s="247"/>
      <c r="AO591" s="247"/>
      <c r="AP591" s="247"/>
      <c r="AQ591" s="247"/>
      <c r="AR591" s="247"/>
      <c r="AS591" s="247"/>
      <c r="AT591" s="247"/>
      <c r="AU591" s="247"/>
      <c r="AW591" s="116"/>
    </row>
    <row r="592" spans="39:49" ht="24" customHeight="1">
      <c r="AM592" s="247"/>
      <c r="AN592" s="247"/>
      <c r="AO592" s="247"/>
      <c r="AP592" s="247"/>
      <c r="AQ592" s="247"/>
      <c r="AR592" s="247"/>
      <c r="AS592" s="247"/>
      <c r="AT592" s="247"/>
      <c r="AU592" s="247"/>
      <c r="AW592" s="116"/>
    </row>
    <row r="593" spans="39:49" ht="13.5" customHeight="1">
      <c r="AM593" s="247"/>
      <c r="AN593" s="247"/>
      <c r="AO593" s="247"/>
      <c r="AP593" s="247"/>
      <c r="AQ593" s="247"/>
      <c r="AR593" s="247"/>
      <c r="AS593" s="247"/>
      <c r="AT593" s="247"/>
      <c r="AU593" s="247"/>
      <c r="AW593" s="116"/>
    </row>
    <row r="594" spans="39:49" ht="24" customHeight="1">
      <c r="AM594" s="247"/>
      <c r="AN594" s="247"/>
      <c r="AO594" s="247"/>
      <c r="AP594" s="247"/>
      <c r="AQ594" s="247"/>
      <c r="AR594" s="247"/>
      <c r="AS594" s="247"/>
      <c r="AT594" s="247"/>
      <c r="AU594" s="247"/>
      <c r="AW594" s="116"/>
    </row>
    <row r="595" spans="39:49" ht="13.5" customHeight="1">
      <c r="AM595" s="247"/>
      <c r="AN595" s="247"/>
      <c r="AO595" s="247"/>
      <c r="AP595" s="247"/>
      <c r="AQ595" s="247"/>
      <c r="AR595" s="247"/>
      <c r="AS595" s="247"/>
      <c r="AT595" s="247"/>
      <c r="AU595" s="247"/>
      <c r="AW595" s="116"/>
    </row>
    <row r="596" spans="39:49" ht="24" customHeight="1">
      <c r="AM596" s="247"/>
      <c r="AN596" s="247"/>
      <c r="AO596" s="247"/>
      <c r="AP596" s="247"/>
      <c r="AQ596" s="247"/>
      <c r="AR596" s="247"/>
      <c r="AS596" s="247"/>
      <c r="AT596" s="247"/>
      <c r="AU596" s="247"/>
      <c r="AW596" s="116"/>
    </row>
    <row r="597" spans="39:49" ht="13.5" customHeight="1">
      <c r="AM597" s="247"/>
      <c r="AN597" s="247"/>
      <c r="AO597" s="247"/>
      <c r="AP597" s="247"/>
      <c r="AQ597" s="247"/>
      <c r="AR597" s="247"/>
      <c r="AS597" s="247"/>
      <c r="AT597" s="247"/>
      <c r="AU597" s="247"/>
      <c r="AW597" s="116"/>
    </row>
    <row r="598" spans="39:49" ht="24" customHeight="1">
      <c r="AM598" s="247"/>
      <c r="AN598" s="247"/>
      <c r="AO598" s="247"/>
      <c r="AP598" s="247"/>
      <c r="AQ598" s="247"/>
      <c r="AR598" s="247"/>
      <c r="AS598" s="247"/>
      <c r="AT598" s="247"/>
      <c r="AU598" s="247"/>
      <c r="AW598" s="116"/>
    </row>
    <row r="599" spans="39:49" ht="13.5" customHeight="1">
      <c r="AM599" s="247"/>
      <c r="AN599" s="247"/>
      <c r="AO599" s="247"/>
      <c r="AP599" s="247"/>
      <c r="AQ599" s="247"/>
      <c r="AR599" s="247"/>
      <c r="AS599" s="247"/>
      <c r="AT599" s="247"/>
      <c r="AU599" s="247"/>
      <c r="AW599" s="116"/>
    </row>
    <row r="600" spans="39:49" ht="24" customHeight="1">
      <c r="AM600" s="247"/>
      <c r="AN600" s="247"/>
      <c r="AO600" s="247"/>
      <c r="AP600" s="247"/>
      <c r="AQ600" s="247"/>
      <c r="AR600" s="247"/>
      <c r="AS600" s="247"/>
      <c r="AT600" s="247"/>
      <c r="AU600" s="247"/>
      <c r="AW600" s="116"/>
    </row>
    <row r="601" spans="39:49" ht="13.5" customHeight="1">
      <c r="AM601" s="247"/>
      <c r="AN601" s="247"/>
      <c r="AO601" s="247"/>
      <c r="AP601" s="247"/>
      <c r="AQ601" s="247"/>
      <c r="AR601" s="247"/>
      <c r="AS601" s="247"/>
      <c r="AT601" s="247"/>
      <c r="AU601" s="247"/>
      <c r="AW601" s="116"/>
    </row>
    <row r="602" spans="39:49" ht="24" customHeight="1">
      <c r="AM602" s="247"/>
      <c r="AN602" s="247"/>
      <c r="AO602" s="247"/>
      <c r="AP602" s="247"/>
      <c r="AQ602" s="247"/>
      <c r="AR602" s="247"/>
      <c r="AS602" s="247"/>
      <c r="AT602" s="247"/>
      <c r="AU602" s="247"/>
      <c r="AW602" s="116"/>
    </row>
    <row r="603" spans="39:49" ht="13.5" customHeight="1">
      <c r="AM603" s="247"/>
      <c r="AN603" s="247"/>
      <c r="AO603" s="247"/>
      <c r="AP603" s="247"/>
      <c r="AQ603" s="247"/>
      <c r="AR603" s="247"/>
      <c r="AS603" s="247"/>
      <c r="AT603" s="247"/>
      <c r="AU603" s="247"/>
      <c r="AW603" s="116"/>
    </row>
    <row r="604" spans="39:49" ht="24" customHeight="1">
      <c r="AM604" s="247"/>
      <c r="AN604" s="247"/>
      <c r="AO604" s="247"/>
      <c r="AP604" s="247"/>
      <c r="AQ604" s="247"/>
      <c r="AR604" s="247"/>
      <c r="AS604" s="247"/>
      <c r="AT604" s="247"/>
      <c r="AU604" s="247"/>
      <c r="AW604" s="116"/>
    </row>
    <row r="605" spans="39:49" ht="13.5" customHeight="1">
      <c r="AM605" s="247"/>
      <c r="AN605" s="247"/>
      <c r="AO605" s="247"/>
      <c r="AP605" s="247"/>
      <c r="AQ605" s="247"/>
      <c r="AR605" s="247"/>
      <c r="AS605" s="247"/>
      <c r="AT605" s="247"/>
      <c r="AU605" s="247"/>
      <c r="AW605" s="116"/>
    </row>
    <row r="606" spans="39:49" ht="24" customHeight="1">
      <c r="AM606" s="247"/>
      <c r="AN606" s="247"/>
      <c r="AO606" s="247"/>
      <c r="AP606" s="247"/>
      <c r="AQ606" s="247"/>
      <c r="AR606" s="247"/>
      <c r="AS606" s="247"/>
      <c r="AT606" s="247"/>
      <c r="AU606" s="247"/>
      <c r="AW606" s="116"/>
    </row>
    <row r="607" spans="39:49" ht="13.5" customHeight="1">
      <c r="AM607" s="247"/>
      <c r="AN607" s="247"/>
      <c r="AO607" s="247"/>
      <c r="AP607" s="247"/>
      <c r="AQ607" s="247"/>
      <c r="AR607" s="247"/>
      <c r="AS607" s="247"/>
      <c r="AT607" s="247"/>
      <c r="AU607" s="247"/>
      <c r="AW607" s="116"/>
    </row>
    <row r="608" spans="39:49" ht="24" customHeight="1">
      <c r="AM608" s="247"/>
      <c r="AN608" s="247"/>
      <c r="AO608" s="247"/>
      <c r="AP608" s="247"/>
      <c r="AQ608" s="247"/>
      <c r="AR608" s="247"/>
      <c r="AS608" s="247"/>
      <c r="AT608" s="247"/>
      <c r="AU608" s="247"/>
      <c r="AW608" s="116"/>
    </row>
    <row r="609" spans="39:49" ht="13.5" customHeight="1">
      <c r="AM609" s="247"/>
      <c r="AN609" s="247"/>
      <c r="AO609" s="247"/>
      <c r="AP609" s="247"/>
      <c r="AQ609" s="247"/>
      <c r="AR609" s="247"/>
      <c r="AS609" s="247"/>
      <c r="AT609" s="247"/>
      <c r="AU609" s="247"/>
      <c r="AW609" s="116"/>
    </row>
    <row r="610" spans="39:49" ht="24" customHeight="1">
      <c r="AM610" s="247"/>
      <c r="AN610" s="247"/>
      <c r="AO610" s="247"/>
      <c r="AP610" s="247"/>
      <c r="AQ610" s="247"/>
      <c r="AR610" s="247"/>
      <c r="AS610" s="247"/>
      <c r="AT610" s="247"/>
      <c r="AU610" s="247"/>
      <c r="AW610" s="116"/>
    </row>
    <row r="611" spans="39:49" ht="13.5" customHeight="1">
      <c r="AM611" s="247"/>
      <c r="AN611" s="247"/>
      <c r="AO611" s="247"/>
      <c r="AP611" s="247"/>
      <c r="AQ611" s="247"/>
      <c r="AR611" s="247"/>
      <c r="AS611" s="247"/>
      <c r="AT611" s="247"/>
      <c r="AU611" s="247"/>
      <c r="AW611" s="116"/>
    </row>
    <row r="612" spans="39:49" ht="24" customHeight="1">
      <c r="AM612" s="247"/>
      <c r="AN612" s="247"/>
      <c r="AO612" s="247"/>
      <c r="AP612" s="247"/>
      <c r="AQ612" s="247"/>
      <c r="AR612" s="247"/>
      <c r="AS612" s="247"/>
      <c r="AT612" s="247"/>
      <c r="AU612" s="247"/>
      <c r="AW612" s="116"/>
    </row>
    <row r="613" spans="39:49" ht="13.5" customHeight="1">
      <c r="AM613" s="247"/>
      <c r="AN613" s="247"/>
      <c r="AO613" s="247"/>
      <c r="AP613" s="247"/>
      <c r="AQ613" s="247"/>
      <c r="AR613" s="247"/>
      <c r="AS613" s="247"/>
      <c r="AT613" s="247"/>
      <c r="AU613" s="247"/>
      <c r="AW613" s="116"/>
    </row>
    <row r="614" spans="39:49" ht="24" customHeight="1">
      <c r="AM614" s="247"/>
      <c r="AN614" s="247"/>
      <c r="AO614" s="247"/>
      <c r="AP614" s="247"/>
      <c r="AQ614" s="247"/>
      <c r="AR614" s="247"/>
      <c r="AS614" s="247"/>
      <c r="AT614" s="247"/>
      <c r="AU614" s="247"/>
      <c r="AW614" s="116"/>
    </row>
    <row r="615" spans="39:49" ht="13.5" customHeight="1">
      <c r="AM615" s="247"/>
      <c r="AN615" s="247"/>
      <c r="AO615" s="247"/>
      <c r="AP615" s="247"/>
      <c r="AQ615" s="247"/>
      <c r="AR615" s="247"/>
      <c r="AS615" s="247"/>
      <c r="AT615" s="247"/>
      <c r="AU615" s="247"/>
      <c r="AW615" s="116"/>
    </row>
    <row r="616" spans="39:49" ht="24" customHeight="1">
      <c r="AM616" s="247"/>
      <c r="AN616" s="247"/>
      <c r="AO616" s="247"/>
      <c r="AP616" s="247"/>
      <c r="AQ616" s="247"/>
      <c r="AR616" s="247"/>
      <c r="AS616" s="247"/>
      <c r="AT616" s="247"/>
      <c r="AU616" s="247"/>
      <c r="AW616" s="116"/>
    </row>
    <row r="617" spans="39:49" ht="13.5" customHeight="1">
      <c r="AM617" s="247"/>
      <c r="AN617" s="247"/>
      <c r="AO617" s="247"/>
      <c r="AP617" s="247"/>
      <c r="AQ617" s="247"/>
      <c r="AR617" s="247"/>
      <c r="AS617" s="247"/>
      <c r="AT617" s="247"/>
      <c r="AU617" s="247"/>
      <c r="AW617" s="116"/>
    </row>
    <row r="618" spans="39:49" ht="24" customHeight="1">
      <c r="AM618" s="247"/>
      <c r="AN618" s="247"/>
      <c r="AO618" s="247"/>
      <c r="AP618" s="247"/>
      <c r="AQ618" s="247"/>
      <c r="AR618" s="247"/>
      <c r="AS618" s="247"/>
      <c r="AT618" s="247"/>
      <c r="AU618" s="247"/>
      <c r="AW618" s="116"/>
    </row>
    <row r="619" spans="39:49" ht="13.5" customHeight="1">
      <c r="AM619" s="247"/>
      <c r="AN619" s="247"/>
      <c r="AO619" s="247"/>
      <c r="AP619" s="247"/>
      <c r="AQ619" s="247"/>
      <c r="AR619" s="247"/>
      <c r="AS619" s="247"/>
      <c r="AT619" s="247"/>
      <c r="AU619" s="247"/>
      <c r="AW619" s="116"/>
    </row>
    <row r="620" spans="39:49" ht="24" customHeight="1">
      <c r="AM620" s="247"/>
      <c r="AN620" s="247"/>
      <c r="AO620" s="247"/>
      <c r="AP620" s="247"/>
      <c r="AQ620" s="247"/>
      <c r="AR620" s="247"/>
      <c r="AS620" s="247"/>
      <c r="AT620" s="247"/>
      <c r="AU620" s="247"/>
      <c r="AW620" s="116"/>
    </row>
    <row r="621" spans="39:49" ht="13.5" customHeight="1">
      <c r="AM621" s="247"/>
      <c r="AN621" s="247"/>
      <c r="AO621" s="247"/>
      <c r="AP621" s="247"/>
      <c r="AQ621" s="247"/>
      <c r="AR621" s="247"/>
      <c r="AS621" s="247"/>
      <c r="AT621" s="247"/>
      <c r="AU621" s="247"/>
      <c r="AW621" s="116"/>
    </row>
    <row r="622" spans="39:49" ht="24" customHeight="1">
      <c r="AM622" s="247"/>
      <c r="AN622" s="247"/>
      <c r="AO622" s="247"/>
      <c r="AP622" s="247"/>
      <c r="AQ622" s="247"/>
      <c r="AR622" s="247"/>
      <c r="AS622" s="247"/>
      <c r="AT622" s="247"/>
      <c r="AU622" s="247"/>
      <c r="AW622" s="116"/>
    </row>
    <row r="623" spans="39:49" ht="13.5" customHeight="1">
      <c r="AM623" s="247"/>
      <c r="AN623" s="247"/>
      <c r="AO623" s="247"/>
      <c r="AP623" s="247"/>
      <c r="AQ623" s="247"/>
      <c r="AR623" s="247"/>
      <c r="AS623" s="247"/>
      <c r="AT623" s="247"/>
      <c r="AU623" s="247"/>
      <c r="AW623" s="116"/>
    </row>
    <row r="624" spans="39:49" ht="24" customHeight="1">
      <c r="AM624" s="247"/>
      <c r="AN624" s="247"/>
      <c r="AO624" s="247"/>
      <c r="AP624" s="247"/>
      <c r="AQ624" s="247"/>
      <c r="AR624" s="247"/>
      <c r="AS624" s="247"/>
      <c r="AT624" s="247"/>
      <c r="AU624" s="247"/>
      <c r="AW624" s="116"/>
    </row>
    <row r="625" spans="39:49" ht="13.5" customHeight="1">
      <c r="AM625" s="247"/>
      <c r="AN625" s="247"/>
      <c r="AO625" s="247"/>
      <c r="AP625" s="247"/>
      <c r="AQ625" s="247"/>
      <c r="AR625" s="247"/>
      <c r="AS625" s="247"/>
      <c r="AT625" s="247"/>
      <c r="AU625" s="247"/>
      <c r="AW625" s="116"/>
    </row>
    <row r="626" spans="39:49" ht="24" customHeight="1">
      <c r="AM626" s="247"/>
      <c r="AN626" s="247"/>
      <c r="AO626" s="247"/>
      <c r="AP626" s="247"/>
      <c r="AQ626" s="247"/>
      <c r="AR626" s="247"/>
      <c r="AS626" s="247"/>
      <c r="AT626" s="247"/>
      <c r="AU626" s="247"/>
      <c r="AW626" s="116"/>
    </row>
    <row r="627" spans="39:49" ht="13.5" customHeight="1">
      <c r="AM627" s="247"/>
      <c r="AN627" s="247"/>
      <c r="AO627" s="247"/>
      <c r="AP627" s="247"/>
      <c r="AQ627" s="247"/>
      <c r="AR627" s="247"/>
      <c r="AS627" s="247"/>
      <c r="AT627" s="247"/>
      <c r="AU627" s="247"/>
      <c r="AW627" s="116"/>
    </row>
    <row r="628" spans="39:49" ht="24" customHeight="1">
      <c r="AM628" s="247"/>
      <c r="AN628" s="247"/>
      <c r="AO628" s="247"/>
      <c r="AP628" s="247"/>
      <c r="AQ628" s="247"/>
      <c r="AR628" s="247"/>
      <c r="AS628" s="247"/>
      <c r="AT628" s="247"/>
      <c r="AU628" s="247"/>
      <c r="AW628" s="116"/>
    </row>
    <row r="629" spans="39:49" ht="13.5" customHeight="1">
      <c r="AM629" s="247"/>
      <c r="AN629" s="247"/>
      <c r="AO629" s="247"/>
      <c r="AP629" s="247"/>
      <c r="AQ629" s="247"/>
      <c r="AR629" s="247"/>
      <c r="AS629" s="247"/>
      <c r="AT629" s="247"/>
      <c r="AU629" s="247"/>
      <c r="AW629" s="116"/>
    </row>
    <row r="630" spans="39:49" ht="24" customHeight="1">
      <c r="AM630" s="247"/>
      <c r="AN630" s="247"/>
      <c r="AO630" s="247"/>
      <c r="AP630" s="247"/>
      <c r="AQ630" s="247"/>
      <c r="AR630" s="247"/>
      <c r="AS630" s="247"/>
      <c r="AT630" s="247"/>
      <c r="AU630" s="247"/>
      <c r="AW630" s="116"/>
    </row>
    <row r="631" spans="39:49" ht="13.5" customHeight="1">
      <c r="AM631" s="247"/>
      <c r="AN631" s="247"/>
      <c r="AO631" s="247"/>
      <c r="AP631" s="247"/>
      <c r="AQ631" s="247"/>
      <c r="AR631" s="247"/>
      <c r="AS631" s="247"/>
      <c r="AT631" s="247"/>
      <c r="AU631" s="247"/>
      <c r="AW631" s="116"/>
    </row>
    <row r="632" spans="39:49" ht="24" customHeight="1">
      <c r="AM632" s="247"/>
      <c r="AN632" s="247"/>
      <c r="AO632" s="247"/>
      <c r="AP632" s="247"/>
      <c r="AQ632" s="247"/>
      <c r="AR632" s="247"/>
      <c r="AS632" s="247"/>
      <c r="AT632" s="247"/>
      <c r="AU632" s="247"/>
      <c r="AW632" s="116"/>
    </row>
    <row r="633" spans="39:49" ht="13.5" customHeight="1">
      <c r="AM633" s="247"/>
      <c r="AN633" s="247"/>
      <c r="AO633" s="247"/>
      <c r="AP633" s="247"/>
      <c r="AQ633" s="247"/>
      <c r="AR633" s="247"/>
      <c r="AS633" s="247"/>
      <c r="AT633" s="247"/>
      <c r="AU633" s="247"/>
      <c r="AW633" s="116"/>
    </row>
    <row r="634" spans="39:49" ht="24" customHeight="1">
      <c r="AM634" s="247"/>
      <c r="AN634" s="247"/>
      <c r="AO634" s="247"/>
      <c r="AP634" s="247"/>
      <c r="AQ634" s="247"/>
      <c r="AR634" s="247"/>
      <c r="AS634" s="247"/>
      <c r="AT634" s="247"/>
      <c r="AU634" s="247"/>
      <c r="AW634" s="116"/>
    </row>
    <row r="635" spans="39:49" ht="13.5" customHeight="1">
      <c r="AM635" s="247"/>
      <c r="AN635" s="247"/>
      <c r="AO635" s="247"/>
      <c r="AP635" s="247"/>
      <c r="AQ635" s="247"/>
      <c r="AR635" s="247"/>
      <c r="AS635" s="247"/>
      <c r="AT635" s="247"/>
      <c r="AU635" s="247"/>
      <c r="AW635" s="116"/>
    </row>
    <row r="636" spans="39:49" ht="24" customHeight="1">
      <c r="AM636" s="247"/>
      <c r="AN636" s="247"/>
      <c r="AO636" s="247"/>
      <c r="AP636" s="247"/>
      <c r="AQ636" s="247"/>
      <c r="AR636" s="247"/>
      <c r="AS636" s="247"/>
      <c r="AT636" s="247"/>
      <c r="AU636" s="247"/>
      <c r="AW636" s="116"/>
    </row>
    <row r="637" spans="39:49" ht="13.5" customHeight="1">
      <c r="AM637" s="247"/>
      <c r="AN637" s="247"/>
      <c r="AO637" s="247"/>
      <c r="AP637" s="247"/>
      <c r="AQ637" s="247"/>
      <c r="AR637" s="247"/>
      <c r="AS637" s="247"/>
      <c r="AT637" s="247"/>
      <c r="AU637" s="247"/>
      <c r="AW637" s="116"/>
    </row>
    <row r="638" spans="39:49" ht="24" customHeight="1">
      <c r="AM638" s="247"/>
      <c r="AN638" s="247"/>
      <c r="AO638" s="247"/>
      <c r="AP638" s="247"/>
      <c r="AQ638" s="247"/>
      <c r="AR638" s="247"/>
      <c r="AS638" s="247"/>
      <c r="AT638" s="247"/>
      <c r="AU638" s="247"/>
      <c r="AW638" s="116"/>
    </row>
    <row r="639" spans="39:49" ht="13.5" customHeight="1">
      <c r="AM639" s="247"/>
      <c r="AN639" s="247"/>
      <c r="AO639" s="247"/>
      <c r="AP639" s="247"/>
      <c r="AQ639" s="247"/>
      <c r="AR639" s="247"/>
      <c r="AS639" s="247"/>
      <c r="AT639" s="247"/>
      <c r="AU639" s="247"/>
      <c r="AW639" s="116"/>
    </row>
    <row r="640" spans="39:49" ht="24" customHeight="1">
      <c r="AM640" s="247"/>
      <c r="AN640" s="247"/>
      <c r="AO640" s="247"/>
      <c r="AP640" s="247"/>
      <c r="AQ640" s="247"/>
      <c r="AR640" s="247"/>
      <c r="AS640" s="247"/>
      <c r="AT640" s="247"/>
      <c r="AU640" s="247"/>
      <c r="AW640" s="116"/>
    </row>
    <row r="641" spans="39:49" ht="13.5" customHeight="1">
      <c r="AM641" s="247"/>
      <c r="AN641" s="247"/>
      <c r="AO641" s="247"/>
      <c r="AP641" s="247"/>
      <c r="AQ641" s="247"/>
      <c r="AR641" s="247"/>
      <c r="AS641" s="247"/>
      <c r="AT641" s="247"/>
      <c r="AU641" s="247"/>
      <c r="AW641" s="116"/>
    </row>
    <row r="642" spans="39:49" ht="24" customHeight="1">
      <c r="AM642" s="247"/>
      <c r="AN642" s="247"/>
      <c r="AO642" s="247"/>
      <c r="AP642" s="247"/>
      <c r="AQ642" s="247"/>
      <c r="AR642" s="247"/>
      <c r="AS642" s="247"/>
      <c r="AT642" s="247"/>
      <c r="AU642" s="247"/>
      <c r="AW642" s="116"/>
    </row>
    <row r="643" spans="39:49" ht="13.5" customHeight="1">
      <c r="AM643" s="247"/>
      <c r="AN643" s="247"/>
      <c r="AO643" s="247"/>
      <c r="AP643" s="247"/>
      <c r="AQ643" s="247"/>
      <c r="AR643" s="247"/>
      <c r="AS643" s="247"/>
      <c r="AT643" s="247"/>
      <c r="AU643" s="247"/>
      <c r="AW643" s="116"/>
    </row>
    <row r="644" spans="39:49" ht="24" customHeight="1">
      <c r="AM644" s="247"/>
      <c r="AN644" s="247"/>
      <c r="AO644" s="247"/>
      <c r="AP644" s="247"/>
      <c r="AQ644" s="247"/>
      <c r="AR644" s="247"/>
      <c r="AS644" s="247"/>
      <c r="AT644" s="247"/>
      <c r="AU644" s="247"/>
      <c r="AW644" s="116"/>
    </row>
    <row r="645" spans="39:49" ht="13.5" customHeight="1">
      <c r="AM645" s="247"/>
      <c r="AN645" s="247"/>
      <c r="AO645" s="247"/>
      <c r="AP645" s="247"/>
      <c r="AQ645" s="247"/>
      <c r="AR645" s="247"/>
      <c r="AS645" s="247"/>
      <c r="AT645" s="247"/>
      <c r="AU645" s="247"/>
      <c r="AW645" s="116"/>
    </row>
    <row r="646" spans="39:49" ht="24" customHeight="1">
      <c r="AM646" s="247"/>
      <c r="AN646" s="247"/>
      <c r="AO646" s="247"/>
      <c r="AP646" s="247"/>
      <c r="AQ646" s="247"/>
      <c r="AR646" s="247"/>
      <c r="AS646" s="247"/>
      <c r="AT646" s="247"/>
      <c r="AU646" s="247"/>
      <c r="AW646" s="116"/>
    </row>
    <row r="647" spans="39:49" ht="13.5" customHeight="1">
      <c r="AM647" s="247"/>
      <c r="AN647" s="247"/>
      <c r="AO647" s="247"/>
      <c r="AP647" s="247"/>
      <c r="AQ647" s="247"/>
      <c r="AR647" s="247"/>
      <c r="AS647" s="247"/>
      <c r="AT647" s="247"/>
      <c r="AU647" s="247"/>
      <c r="AW647" s="116"/>
    </row>
    <row r="648" spans="39:49" ht="24" customHeight="1">
      <c r="AM648" s="247"/>
      <c r="AN648" s="247"/>
      <c r="AO648" s="247"/>
      <c r="AP648" s="247"/>
      <c r="AQ648" s="247"/>
      <c r="AR648" s="247"/>
      <c r="AS648" s="247"/>
      <c r="AT648" s="247"/>
      <c r="AU648" s="247"/>
      <c r="AW648" s="116"/>
    </row>
    <row r="649" spans="39:49" ht="13.5" customHeight="1">
      <c r="AM649" s="247"/>
      <c r="AN649" s="247"/>
      <c r="AO649" s="247"/>
      <c r="AP649" s="247"/>
      <c r="AQ649" s="247"/>
      <c r="AR649" s="247"/>
      <c r="AS649" s="247"/>
      <c r="AT649" s="247"/>
      <c r="AU649" s="247"/>
      <c r="AW649" s="116"/>
    </row>
    <row r="650" spans="39:49" ht="24" customHeight="1">
      <c r="AM650" s="247"/>
      <c r="AN650" s="247"/>
      <c r="AO650" s="247"/>
      <c r="AP650" s="247"/>
      <c r="AQ650" s="247"/>
      <c r="AR650" s="247"/>
      <c r="AS650" s="247"/>
      <c r="AT650" s="247"/>
      <c r="AU650" s="247"/>
      <c r="AW650" s="116"/>
    </row>
    <row r="651" spans="39:49" ht="13.5" customHeight="1">
      <c r="AM651" s="247"/>
      <c r="AN651" s="247"/>
      <c r="AO651" s="247"/>
      <c r="AP651" s="247"/>
      <c r="AQ651" s="247"/>
      <c r="AR651" s="247"/>
      <c r="AS651" s="247"/>
      <c r="AT651" s="247"/>
      <c r="AU651" s="247"/>
      <c r="AW651" s="116"/>
    </row>
    <row r="652" spans="39:49" ht="24" customHeight="1">
      <c r="AM652" s="247"/>
      <c r="AN652" s="247"/>
      <c r="AO652" s="247"/>
      <c r="AP652" s="247"/>
      <c r="AQ652" s="247"/>
      <c r="AR652" s="247"/>
      <c r="AS652" s="247"/>
      <c r="AT652" s="247"/>
      <c r="AU652" s="247"/>
      <c r="AW652" s="116"/>
    </row>
    <row r="653" spans="39:49" ht="13.5" customHeight="1">
      <c r="AM653" s="247"/>
      <c r="AN653" s="247"/>
      <c r="AO653" s="247"/>
      <c r="AP653" s="247"/>
      <c r="AQ653" s="247"/>
      <c r="AR653" s="247"/>
      <c r="AS653" s="247"/>
      <c r="AT653" s="247"/>
      <c r="AU653" s="247"/>
      <c r="AW653" s="116"/>
    </row>
    <row r="654" spans="39:49" ht="24" customHeight="1">
      <c r="AM654" s="247"/>
      <c r="AN654" s="247"/>
      <c r="AO654" s="247"/>
      <c r="AP654" s="247"/>
      <c r="AQ654" s="247"/>
      <c r="AR654" s="247"/>
      <c r="AS654" s="247"/>
      <c r="AT654" s="247"/>
      <c r="AU654" s="247"/>
      <c r="AW654" s="116"/>
    </row>
    <row r="655" spans="39:49" ht="13.5" customHeight="1">
      <c r="AM655" s="247"/>
      <c r="AN655" s="247"/>
      <c r="AO655" s="247"/>
      <c r="AP655" s="247"/>
      <c r="AQ655" s="247"/>
      <c r="AR655" s="247"/>
      <c r="AS655" s="247"/>
      <c r="AT655" s="247"/>
      <c r="AU655" s="247"/>
      <c r="AW655" s="116"/>
    </row>
    <row r="656" spans="39:49" ht="24" customHeight="1">
      <c r="AM656" s="247"/>
      <c r="AN656" s="247"/>
      <c r="AO656" s="247"/>
      <c r="AP656" s="247"/>
      <c r="AQ656" s="247"/>
      <c r="AR656" s="247"/>
      <c r="AS656" s="247"/>
      <c r="AT656" s="247"/>
      <c r="AU656" s="247"/>
      <c r="AW656" s="116"/>
    </row>
    <row r="657" spans="39:49" ht="13.5" customHeight="1">
      <c r="AM657" s="247"/>
      <c r="AN657" s="247"/>
      <c r="AO657" s="247"/>
      <c r="AP657" s="247"/>
      <c r="AQ657" s="247"/>
      <c r="AR657" s="247"/>
      <c r="AS657" s="247"/>
      <c r="AT657" s="247"/>
      <c r="AU657" s="247"/>
      <c r="AW657" s="116"/>
    </row>
    <row r="658" spans="39:49" ht="24" customHeight="1">
      <c r="AM658" s="247"/>
      <c r="AN658" s="247"/>
      <c r="AO658" s="247"/>
      <c r="AP658" s="247"/>
      <c r="AQ658" s="247"/>
      <c r="AR658" s="247"/>
      <c r="AS658" s="247"/>
      <c r="AT658" s="247"/>
      <c r="AU658" s="247"/>
      <c r="AW658" s="116"/>
    </row>
    <row r="659" spans="39:49" ht="13.5" customHeight="1">
      <c r="AM659" s="247"/>
      <c r="AN659" s="247"/>
      <c r="AO659" s="247"/>
      <c r="AP659" s="247"/>
      <c r="AQ659" s="247"/>
      <c r="AR659" s="247"/>
      <c r="AS659" s="247"/>
      <c r="AT659" s="247"/>
      <c r="AU659" s="247"/>
      <c r="AW659" s="116"/>
    </row>
    <row r="660" spans="39:49" ht="24" customHeight="1">
      <c r="AM660" s="247"/>
      <c r="AN660" s="247"/>
      <c r="AO660" s="247"/>
      <c r="AP660" s="247"/>
      <c r="AQ660" s="247"/>
      <c r="AR660" s="247"/>
      <c r="AS660" s="247"/>
      <c r="AT660" s="247"/>
      <c r="AU660" s="247"/>
      <c r="AW660" s="116"/>
    </row>
    <row r="661" spans="39:49" ht="13.5" customHeight="1">
      <c r="AM661" s="247"/>
      <c r="AN661" s="247"/>
      <c r="AO661" s="247"/>
      <c r="AP661" s="247"/>
      <c r="AQ661" s="247"/>
      <c r="AR661" s="247"/>
      <c r="AS661" s="247"/>
      <c r="AT661" s="247"/>
      <c r="AU661" s="247"/>
      <c r="AW661" s="116"/>
    </row>
    <row r="662" spans="39:49" ht="24" customHeight="1">
      <c r="AM662" s="247"/>
      <c r="AN662" s="247"/>
      <c r="AO662" s="247"/>
      <c r="AP662" s="247"/>
      <c r="AQ662" s="247"/>
      <c r="AR662" s="247"/>
      <c r="AS662" s="247"/>
      <c r="AT662" s="247"/>
      <c r="AU662" s="247"/>
      <c r="AW662" s="116"/>
    </row>
    <row r="663" spans="39:49" ht="13.5" customHeight="1">
      <c r="AM663" s="247"/>
      <c r="AN663" s="247"/>
      <c r="AO663" s="247"/>
      <c r="AP663" s="247"/>
      <c r="AQ663" s="247"/>
      <c r="AR663" s="247"/>
      <c r="AS663" s="247"/>
      <c r="AT663" s="247"/>
      <c r="AU663" s="247"/>
      <c r="AW663" s="116"/>
    </row>
    <row r="664" spans="39:49" ht="24" customHeight="1">
      <c r="AM664" s="247"/>
      <c r="AN664" s="247"/>
      <c r="AO664" s="247"/>
      <c r="AP664" s="247"/>
      <c r="AQ664" s="247"/>
      <c r="AR664" s="247"/>
      <c r="AS664" s="247"/>
      <c r="AT664" s="247"/>
      <c r="AU664" s="247"/>
      <c r="AW664" s="116"/>
    </row>
    <row r="665" spans="39:49" ht="13.5" customHeight="1">
      <c r="AM665" s="247"/>
      <c r="AN665" s="247"/>
      <c r="AO665" s="247"/>
      <c r="AP665" s="247"/>
      <c r="AQ665" s="247"/>
      <c r="AR665" s="247"/>
      <c r="AS665" s="247"/>
      <c r="AT665" s="247"/>
      <c r="AU665" s="247"/>
      <c r="AW665" s="116"/>
    </row>
    <row r="666" spans="39:49" ht="24" customHeight="1">
      <c r="AM666" s="247"/>
      <c r="AN666" s="247"/>
      <c r="AO666" s="247"/>
      <c r="AP666" s="247"/>
      <c r="AQ666" s="247"/>
      <c r="AR666" s="247"/>
      <c r="AS666" s="247"/>
      <c r="AT666" s="247"/>
      <c r="AU666" s="247"/>
      <c r="AW666" s="116"/>
    </row>
    <row r="667" spans="39:49" ht="13.5" customHeight="1">
      <c r="AM667" s="247"/>
      <c r="AN667" s="247"/>
      <c r="AO667" s="247"/>
      <c r="AP667" s="247"/>
      <c r="AQ667" s="247"/>
      <c r="AR667" s="247"/>
      <c r="AS667" s="247"/>
      <c r="AT667" s="247"/>
      <c r="AU667" s="247"/>
      <c r="AW667" s="116"/>
    </row>
    <row r="668" spans="39:49" ht="24" customHeight="1">
      <c r="AM668" s="247"/>
      <c r="AN668" s="247"/>
      <c r="AO668" s="247"/>
      <c r="AP668" s="247"/>
      <c r="AQ668" s="247"/>
      <c r="AR668" s="247"/>
      <c r="AS668" s="247"/>
      <c r="AT668" s="247"/>
      <c r="AU668" s="247"/>
      <c r="AW668" s="116"/>
    </row>
    <row r="669" spans="39:49" ht="13.5" customHeight="1">
      <c r="AM669" s="247"/>
      <c r="AN669" s="247"/>
      <c r="AO669" s="247"/>
      <c r="AP669" s="247"/>
      <c r="AQ669" s="247"/>
      <c r="AR669" s="247"/>
      <c r="AS669" s="247"/>
      <c r="AT669" s="247"/>
      <c r="AU669" s="247"/>
      <c r="AW669" s="116"/>
    </row>
    <row r="670" spans="39:49" ht="24" customHeight="1">
      <c r="AM670" s="247"/>
      <c r="AN670" s="247"/>
      <c r="AO670" s="247"/>
      <c r="AP670" s="247"/>
      <c r="AQ670" s="247"/>
      <c r="AR670" s="247"/>
      <c r="AS670" s="247"/>
      <c r="AT670" s="247"/>
      <c r="AU670" s="247"/>
      <c r="AW670" s="116"/>
    </row>
    <row r="671" spans="39:49" ht="13.5" customHeight="1">
      <c r="AM671" s="247"/>
      <c r="AN671" s="247"/>
      <c r="AO671" s="247"/>
      <c r="AP671" s="247"/>
      <c r="AQ671" s="247"/>
      <c r="AR671" s="247"/>
      <c r="AS671" s="247"/>
      <c r="AT671" s="247"/>
      <c r="AU671" s="247"/>
      <c r="AW671" s="116"/>
    </row>
    <row r="672" spans="39:49" ht="24" customHeight="1">
      <c r="AM672" s="247"/>
      <c r="AN672" s="247"/>
      <c r="AO672" s="247"/>
      <c r="AP672" s="247"/>
      <c r="AQ672" s="247"/>
      <c r="AR672" s="247"/>
      <c r="AS672" s="247"/>
      <c r="AT672" s="247"/>
      <c r="AU672" s="247"/>
      <c r="AW672" s="116"/>
    </row>
    <row r="673" spans="39:49" ht="13.5" customHeight="1">
      <c r="AM673" s="247"/>
      <c r="AN673" s="247"/>
      <c r="AO673" s="247"/>
      <c r="AP673" s="247"/>
      <c r="AQ673" s="247"/>
      <c r="AR673" s="247"/>
      <c r="AS673" s="247"/>
      <c r="AT673" s="247"/>
      <c r="AU673" s="247"/>
      <c r="AW673" s="116"/>
    </row>
    <row r="674" spans="39:49" ht="24" customHeight="1">
      <c r="AM674" s="247"/>
      <c r="AN674" s="247"/>
      <c r="AO674" s="247"/>
      <c r="AP674" s="247"/>
      <c r="AQ674" s="247"/>
      <c r="AR674" s="247"/>
      <c r="AS674" s="247"/>
      <c r="AT674" s="247"/>
      <c r="AU674" s="247"/>
      <c r="AW674" s="116"/>
    </row>
    <row r="675" spans="39:49" ht="13.5" customHeight="1">
      <c r="AM675" s="247"/>
      <c r="AN675" s="247"/>
      <c r="AO675" s="247"/>
      <c r="AP675" s="247"/>
      <c r="AQ675" s="247"/>
      <c r="AR675" s="247"/>
      <c r="AS675" s="247"/>
      <c r="AT675" s="247"/>
      <c r="AU675" s="247"/>
      <c r="AW675" s="116"/>
    </row>
    <row r="676" spans="39:49" ht="24" customHeight="1">
      <c r="AM676" s="247"/>
      <c r="AN676" s="247"/>
      <c r="AO676" s="247"/>
      <c r="AP676" s="247"/>
      <c r="AQ676" s="247"/>
      <c r="AR676" s="247"/>
      <c r="AS676" s="247"/>
      <c r="AT676" s="247"/>
      <c r="AU676" s="247"/>
      <c r="AW676" s="116"/>
    </row>
    <row r="677" spans="39:49" ht="13.5" customHeight="1">
      <c r="AM677" s="247"/>
      <c r="AN677" s="247"/>
      <c r="AO677" s="247"/>
      <c r="AP677" s="247"/>
      <c r="AQ677" s="247"/>
      <c r="AR677" s="247"/>
      <c r="AS677" s="247"/>
      <c r="AT677" s="247"/>
      <c r="AU677" s="247"/>
      <c r="AW677" s="116"/>
    </row>
    <row r="678" spans="39:49" ht="24" customHeight="1">
      <c r="AM678" s="247"/>
      <c r="AN678" s="247"/>
      <c r="AO678" s="247"/>
      <c r="AP678" s="247"/>
      <c r="AQ678" s="247"/>
      <c r="AR678" s="247"/>
      <c r="AS678" s="247"/>
      <c r="AT678" s="247"/>
      <c r="AU678" s="247"/>
      <c r="AW678" s="116"/>
    </row>
    <row r="679" spans="39:49" ht="13.5" customHeight="1">
      <c r="AM679" s="247"/>
      <c r="AN679" s="247"/>
      <c r="AO679" s="247"/>
      <c r="AP679" s="247"/>
      <c r="AQ679" s="247"/>
      <c r="AR679" s="247"/>
      <c r="AS679" s="247"/>
      <c r="AT679" s="247"/>
      <c r="AU679" s="247"/>
      <c r="AW679" s="116"/>
    </row>
    <row r="680" spans="39:49" ht="24" customHeight="1">
      <c r="AM680" s="247"/>
      <c r="AN680" s="247"/>
      <c r="AO680" s="247"/>
      <c r="AP680" s="247"/>
      <c r="AQ680" s="247"/>
      <c r="AR680" s="247"/>
      <c r="AS680" s="247"/>
      <c r="AT680" s="247"/>
      <c r="AU680" s="247"/>
      <c r="AW680" s="116"/>
    </row>
    <row r="681" spans="39:49" ht="13.5" customHeight="1">
      <c r="AM681" s="247"/>
      <c r="AN681" s="247"/>
      <c r="AO681" s="247"/>
      <c r="AP681" s="247"/>
      <c r="AQ681" s="247"/>
      <c r="AR681" s="247"/>
      <c r="AS681" s="247"/>
      <c r="AT681" s="247"/>
      <c r="AU681" s="247"/>
      <c r="AW681" s="116"/>
    </row>
    <row r="682" spans="39:49" ht="24" customHeight="1">
      <c r="AM682" s="247"/>
      <c r="AN682" s="247"/>
      <c r="AO682" s="247"/>
      <c r="AP682" s="247"/>
      <c r="AQ682" s="247"/>
      <c r="AR682" s="247"/>
      <c r="AS682" s="247"/>
      <c r="AT682" s="247"/>
      <c r="AU682" s="247"/>
      <c r="AW682" s="116"/>
    </row>
    <row r="683" spans="39:49" ht="13.5" customHeight="1">
      <c r="AM683" s="247"/>
      <c r="AN683" s="247"/>
      <c r="AO683" s="247"/>
      <c r="AP683" s="247"/>
      <c r="AQ683" s="247"/>
      <c r="AR683" s="247"/>
      <c r="AS683" s="247"/>
      <c r="AT683" s="247"/>
      <c r="AU683" s="247"/>
      <c r="AW683" s="116"/>
    </row>
    <row r="684" spans="39:49" ht="24" customHeight="1">
      <c r="AM684" s="247"/>
      <c r="AN684" s="247"/>
      <c r="AO684" s="247"/>
      <c r="AP684" s="247"/>
      <c r="AQ684" s="247"/>
      <c r="AR684" s="247"/>
      <c r="AS684" s="247"/>
      <c r="AT684" s="247"/>
      <c r="AU684" s="247"/>
      <c r="AW684" s="116"/>
    </row>
    <row r="685" spans="39:49" ht="13.5" customHeight="1">
      <c r="AM685" s="247"/>
      <c r="AN685" s="247"/>
      <c r="AO685" s="247"/>
      <c r="AP685" s="247"/>
      <c r="AQ685" s="247"/>
      <c r="AR685" s="247"/>
      <c r="AS685" s="247"/>
      <c r="AT685" s="247"/>
      <c r="AU685" s="247"/>
      <c r="AW685" s="116"/>
    </row>
    <row r="686" spans="39:49" ht="24" customHeight="1">
      <c r="AM686" s="247"/>
      <c r="AN686" s="247"/>
      <c r="AO686" s="247"/>
      <c r="AP686" s="247"/>
      <c r="AQ686" s="247"/>
      <c r="AR686" s="247"/>
      <c r="AS686" s="247"/>
      <c r="AT686" s="247"/>
      <c r="AU686" s="247"/>
      <c r="AW686" s="116"/>
    </row>
    <row r="687" spans="39:49" ht="13.5" customHeight="1">
      <c r="AM687" s="247"/>
      <c r="AN687" s="247"/>
      <c r="AO687" s="247"/>
      <c r="AP687" s="247"/>
      <c r="AQ687" s="247"/>
      <c r="AR687" s="247"/>
      <c r="AS687" s="247"/>
      <c r="AT687" s="247"/>
      <c r="AU687" s="247"/>
      <c r="AW687" s="116"/>
    </row>
    <row r="688" spans="39:49" ht="24" customHeight="1">
      <c r="AM688" s="247"/>
      <c r="AN688" s="247"/>
      <c r="AO688" s="247"/>
      <c r="AP688" s="247"/>
      <c r="AQ688" s="247"/>
      <c r="AR688" s="247"/>
      <c r="AS688" s="247"/>
      <c r="AT688" s="247"/>
      <c r="AU688" s="247"/>
      <c r="AW688" s="116"/>
    </row>
    <row r="689" spans="39:49" ht="13.5" customHeight="1">
      <c r="AM689" s="247"/>
      <c r="AN689" s="247"/>
      <c r="AO689" s="247"/>
      <c r="AP689" s="247"/>
      <c r="AQ689" s="247"/>
      <c r="AR689" s="247"/>
      <c r="AS689" s="247"/>
      <c r="AT689" s="247"/>
      <c r="AU689" s="247"/>
      <c r="AW689" s="116"/>
    </row>
    <row r="690" spans="39:49" ht="24" customHeight="1">
      <c r="AM690" s="247"/>
      <c r="AN690" s="247"/>
      <c r="AO690" s="247"/>
      <c r="AP690" s="247"/>
      <c r="AQ690" s="247"/>
      <c r="AR690" s="247"/>
      <c r="AS690" s="247"/>
      <c r="AT690" s="247"/>
      <c r="AU690" s="247"/>
      <c r="AW690" s="116"/>
    </row>
    <row r="691" spans="39:49" ht="13.5" customHeight="1">
      <c r="AM691" s="247"/>
      <c r="AN691" s="247"/>
      <c r="AO691" s="247"/>
      <c r="AP691" s="247"/>
      <c r="AQ691" s="247"/>
      <c r="AR691" s="247"/>
      <c r="AS691" s="247"/>
      <c r="AT691" s="247"/>
      <c r="AU691" s="247"/>
      <c r="AW691" s="116"/>
    </row>
    <row r="692" spans="39:49" ht="24" customHeight="1">
      <c r="AM692" s="247"/>
      <c r="AN692" s="247"/>
      <c r="AO692" s="247"/>
      <c r="AP692" s="247"/>
      <c r="AQ692" s="247"/>
      <c r="AR692" s="247"/>
      <c r="AS692" s="247"/>
      <c r="AT692" s="247"/>
      <c r="AU692" s="247"/>
      <c r="AW692" s="116"/>
    </row>
    <row r="693" spans="39:49" ht="13.5" customHeight="1">
      <c r="AM693" s="247"/>
      <c r="AN693" s="247"/>
      <c r="AO693" s="247"/>
      <c r="AP693" s="247"/>
      <c r="AQ693" s="247"/>
      <c r="AR693" s="247"/>
      <c r="AS693" s="247"/>
      <c r="AT693" s="247"/>
      <c r="AU693" s="247"/>
      <c r="AW693" s="116"/>
    </row>
    <row r="694" spans="39:49" ht="24" customHeight="1">
      <c r="AM694" s="247"/>
      <c r="AN694" s="247"/>
      <c r="AO694" s="247"/>
      <c r="AP694" s="247"/>
      <c r="AQ694" s="247"/>
      <c r="AR694" s="247"/>
      <c r="AS694" s="247"/>
      <c r="AT694" s="247"/>
      <c r="AU694" s="247"/>
      <c r="AW694" s="116"/>
    </row>
    <row r="695" spans="39:49" ht="13.5" customHeight="1">
      <c r="AM695" s="247"/>
      <c r="AN695" s="247"/>
      <c r="AO695" s="247"/>
      <c r="AP695" s="247"/>
      <c r="AQ695" s="247"/>
      <c r="AR695" s="247"/>
      <c r="AS695" s="247"/>
      <c r="AT695" s="247"/>
      <c r="AU695" s="247"/>
      <c r="AW695" s="116"/>
    </row>
    <row r="696" spans="39:49" ht="24" customHeight="1">
      <c r="AM696" s="247"/>
      <c r="AN696" s="247"/>
      <c r="AO696" s="247"/>
      <c r="AP696" s="247"/>
      <c r="AQ696" s="247"/>
      <c r="AR696" s="247"/>
      <c r="AS696" s="247"/>
      <c r="AT696" s="247"/>
      <c r="AU696" s="247"/>
      <c r="AW696" s="116"/>
    </row>
    <row r="697" spans="39:49" ht="13.5" customHeight="1">
      <c r="AM697" s="247"/>
      <c r="AN697" s="247"/>
      <c r="AO697" s="247"/>
      <c r="AP697" s="247"/>
      <c r="AQ697" s="247"/>
      <c r="AR697" s="247"/>
      <c r="AS697" s="247"/>
      <c r="AT697" s="247"/>
      <c r="AU697" s="247"/>
      <c r="AW697" s="116"/>
    </row>
    <row r="698" spans="39:49" ht="24" customHeight="1">
      <c r="AM698" s="247"/>
      <c r="AN698" s="247"/>
      <c r="AO698" s="247"/>
      <c r="AP698" s="247"/>
      <c r="AQ698" s="247"/>
      <c r="AR698" s="247"/>
      <c r="AS698" s="247"/>
      <c r="AT698" s="247"/>
      <c r="AU698" s="247"/>
      <c r="AW698" s="116"/>
    </row>
    <row r="699" spans="39:49" ht="13.5" customHeight="1">
      <c r="AM699" s="247"/>
      <c r="AN699" s="247"/>
      <c r="AO699" s="247"/>
      <c r="AP699" s="247"/>
      <c r="AQ699" s="247"/>
      <c r="AR699" s="247"/>
      <c r="AS699" s="247"/>
      <c r="AT699" s="247"/>
      <c r="AU699" s="247"/>
      <c r="AW699" s="116"/>
    </row>
    <row r="700" spans="39:49" ht="24" customHeight="1">
      <c r="AM700" s="247"/>
      <c r="AN700" s="247"/>
      <c r="AO700" s="247"/>
      <c r="AP700" s="247"/>
      <c r="AQ700" s="247"/>
      <c r="AR700" s="247"/>
      <c r="AS700" s="247"/>
      <c r="AT700" s="247"/>
      <c r="AU700" s="247"/>
      <c r="AW700" s="116"/>
    </row>
    <row r="701" spans="39:49" ht="13.5" customHeight="1">
      <c r="AM701" s="247"/>
      <c r="AN701" s="247"/>
      <c r="AO701" s="247"/>
      <c r="AP701" s="247"/>
      <c r="AQ701" s="247"/>
      <c r="AR701" s="247"/>
      <c r="AS701" s="247"/>
      <c r="AT701" s="247"/>
      <c r="AU701" s="247"/>
      <c r="AW701" s="116"/>
    </row>
    <row r="702" spans="39:49" ht="24" customHeight="1">
      <c r="AM702" s="247"/>
      <c r="AN702" s="247"/>
      <c r="AO702" s="247"/>
      <c r="AP702" s="247"/>
      <c r="AQ702" s="247"/>
      <c r="AR702" s="247"/>
      <c r="AS702" s="247"/>
      <c r="AT702" s="247"/>
      <c r="AU702" s="247"/>
      <c r="AW702" s="116"/>
    </row>
    <row r="703" spans="39:49" ht="13.5" customHeight="1">
      <c r="AM703" s="247"/>
      <c r="AN703" s="247"/>
      <c r="AO703" s="247"/>
      <c r="AP703" s="247"/>
      <c r="AQ703" s="247"/>
      <c r="AR703" s="247"/>
      <c r="AS703" s="247"/>
      <c r="AT703" s="247"/>
      <c r="AU703" s="247"/>
      <c r="AW703" s="116"/>
    </row>
    <row r="704" spans="39:49" ht="24" customHeight="1">
      <c r="AM704" s="247"/>
      <c r="AN704" s="247"/>
      <c r="AO704" s="247"/>
      <c r="AP704" s="247"/>
      <c r="AQ704" s="247"/>
      <c r="AR704" s="247"/>
      <c r="AS704" s="247"/>
      <c r="AT704" s="247"/>
      <c r="AU704" s="247"/>
      <c r="AW704" s="116"/>
    </row>
    <row r="705" spans="39:51" ht="13.5" customHeight="1">
      <c r="AM705" s="247"/>
      <c r="AN705" s="247"/>
      <c r="AO705" s="247"/>
      <c r="AP705" s="247"/>
      <c r="AQ705" s="247"/>
      <c r="AR705" s="247"/>
      <c r="AS705" s="247"/>
      <c r="AT705" s="247"/>
      <c r="AU705" s="247"/>
      <c r="AW705" s="116"/>
    </row>
    <row r="706" spans="39:51" ht="24" customHeight="1">
      <c r="AM706" s="247"/>
      <c r="AN706" s="247"/>
      <c r="AO706" s="247"/>
      <c r="AP706" s="247"/>
      <c r="AQ706" s="247" t="s">
        <v>544</v>
      </c>
      <c r="AR706" s="247"/>
      <c r="AS706" s="247"/>
      <c r="AT706" s="247"/>
      <c r="AU706" s="247"/>
      <c r="AW706" s="116"/>
    </row>
    <row r="707" spans="39:51" ht="13.5" customHeight="1">
      <c r="AM707" s="247"/>
      <c r="AN707" s="247"/>
      <c r="AO707" s="247" t="s">
        <v>539</v>
      </c>
      <c r="AP707" s="247" t="s">
        <v>541</v>
      </c>
      <c r="AQ707" s="247" t="s">
        <v>545</v>
      </c>
      <c r="AR707" s="247"/>
      <c r="AS707" s="247" t="str">
        <f>CONCATENATE("B",SUM(AN28,61))</f>
        <v>B123</v>
      </c>
      <c r="AT707" s="247" t="str">
        <f>CONCATENATE("A",SUM(AN28,61))</f>
        <v>A123</v>
      </c>
      <c r="AU707" s="247" t="str">
        <f>CONCATENATE("C$",SUM(AN28,59))</f>
        <v>C$121</v>
      </c>
      <c r="AW707" s="116" t="s">
        <v>523</v>
      </c>
      <c r="AY707" s="2" t="e">
        <f>CONCATENATE("_", SUBSTITUTE(SUBSTITUTE(SUBSTITUTE(#REF!," ","_"),"(",""),")",""))</f>
        <v>#REF!</v>
      </c>
    </row>
    <row r="708" spans="39:51" ht="24" customHeight="1">
      <c r="AM708" s="247"/>
      <c r="AN708" s="247"/>
      <c r="AO708" s="247"/>
      <c r="AP708" s="247"/>
      <c r="AQ708" s="247" t="s">
        <v>545</v>
      </c>
      <c r="AR708" s="247"/>
      <c r="AS708" s="247"/>
      <c r="AT708" s="247"/>
      <c r="AU708" s="247"/>
      <c r="AW708" s="116"/>
    </row>
    <row r="709" spans="39:51" ht="13.5" customHeight="1">
      <c r="AM709" s="247"/>
      <c r="AN709" s="247"/>
      <c r="AO709" s="247" t="s">
        <v>542</v>
      </c>
      <c r="AP709" s="247" t="s">
        <v>543</v>
      </c>
      <c r="AQ709" s="247" t="s">
        <v>546</v>
      </c>
      <c r="AR709" s="247"/>
      <c r="AS709" s="247" t="str">
        <f>CONCATENATE("B",SUM(AN28,63))</f>
        <v>B125</v>
      </c>
      <c r="AT709" s="247" t="str">
        <f>CONCATENATE("A",SUM(AN28,63))</f>
        <v>A125</v>
      </c>
      <c r="AU709" s="247" t="str">
        <f>CONCATENATE("C$",SUM(AN28,61))</f>
        <v>C$123</v>
      </c>
      <c r="AW709" s="116" t="s">
        <v>523</v>
      </c>
      <c r="AY709" s="2" t="e">
        <f>CONCATENATE("_", SUBSTITUTE(SUBSTITUTE(SUBSTITUTE(#REF!," ","_"),"(",""),")",""))</f>
        <v>#REF!</v>
      </c>
    </row>
    <row r="710" spans="39:51" ht="24" customHeight="1">
      <c r="AM710" s="247"/>
      <c r="AN710" s="247"/>
      <c r="AO710" s="247"/>
      <c r="AP710" s="247"/>
      <c r="AQ710" s="247" t="s">
        <v>546</v>
      </c>
      <c r="AR710" s="247"/>
      <c r="AS710" s="247"/>
      <c r="AT710" s="247"/>
      <c r="AU710" s="247"/>
      <c r="AW710" s="116"/>
    </row>
    <row r="711" spans="39:51" ht="13.5" customHeight="1">
      <c r="AM711" s="247"/>
      <c r="AN711" s="247"/>
      <c r="AO711" s="247" t="s">
        <v>547</v>
      </c>
      <c r="AP711" s="247" t="s">
        <v>548</v>
      </c>
      <c r="AQ711" s="247" t="s">
        <v>549</v>
      </c>
      <c r="AR711" s="247"/>
      <c r="AS711" s="247" t="str">
        <f>CONCATENATE("B",SUM(AN28,65))</f>
        <v>B127</v>
      </c>
      <c r="AT711" s="247" t="str">
        <f>CONCATENATE("A",SUM(AN28,65))</f>
        <v>A127</v>
      </c>
      <c r="AU711" s="247" t="str">
        <f>CONCATENATE("C$",SUM(AN28,63))</f>
        <v>C$125</v>
      </c>
      <c r="AW711" s="116" t="s">
        <v>523</v>
      </c>
      <c r="AY711" s="2" t="e">
        <f>CONCATENATE("_", SUBSTITUTE(SUBSTITUTE(SUBSTITUTE(#REF!," ","_"),"(",""),")",""))</f>
        <v>#REF!</v>
      </c>
    </row>
    <row r="712" spans="39:51" ht="24" customHeight="1">
      <c r="AM712" s="247"/>
      <c r="AN712" s="247"/>
      <c r="AO712" s="247"/>
      <c r="AP712" s="247"/>
      <c r="AQ712" s="247" t="s">
        <v>549</v>
      </c>
      <c r="AR712" s="247"/>
      <c r="AS712" s="247"/>
      <c r="AT712" s="247"/>
      <c r="AU712" s="247"/>
      <c r="AW712" s="116"/>
    </row>
    <row r="713" spans="39:51" ht="13.5" customHeight="1">
      <c r="AM713" s="247"/>
      <c r="AN713" s="247"/>
      <c r="AO713" s="247" t="s">
        <v>551</v>
      </c>
      <c r="AP713" s="247" t="s">
        <v>552</v>
      </c>
      <c r="AQ713" s="247" t="s">
        <v>550</v>
      </c>
      <c r="AR713" s="247"/>
      <c r="AS713" s="247" t="str">
        <f>CONCATENATE("B",SUM(AN28,67))</f>
        <v>B129</v>
      </c>
      <c r="AT713" s="247" t="str">
        <f>CONCATENATE("A",SUM(AN28,67))</f>
        <v>A129</v>
      </c>
      <c r="AU713" s="247" t="str">
        <f>CONCATENATE("C$",SUM(AN28,65))</f>
        <v>C$127</v>
      </c>
      <c r="AW713" s="116" t="s">
        <v>523</v>
      </c>
      <c r="AY713" s="2" t="e">
        <f>CONCATENATE("_", SUBSTITUTE(SUBSTITUTE(SUBSTITUTE(#REF!," ","_"),"(",""),")",""))</f>
        <v>#REF!</v>
      </c>
    </row>
    <row r="714" spans="39:51" ht="24" customHeight="1">
      <c r="AM714" s="247"/>
      <c r="AN714" s="247"/>
      <c r="AO714" s="247"/>
      <c r="AP714" s="247"/>
      <c r="AQ714" s="247" t="s">
        <v>550</v>
      </c>
      <c r="AR714" s="247"/>
      <c r="AS714" s="247"/>
      <c r="AT714" s="247"/>
      <c r="AU714" s="247"/>
      <c r="AW714" s="116"/>
    </row>
    <row r="715" spans="39:51" ht="13.5" customHeight="1">
      <c r="AM715" s="247"/>
      <c r="AN715" s="247"/>
      <c r="AO715" s="247" t="s">
        <v>553</v>
      </c>
      <c r="AP715" s="247" t="s">
        <v>554</v>
      </c>
      <c r="AQ715" s="247" t="s">
        <v>555</v>
      </c>
      <c r="AR715" s="247"/>
      <c r="AS715" s="247" t="str">
        <f>CONCATENATE("B",SUM(AN28,69))</f>
        <v>B131</v>
      </c>
      <c r="AT715" s="247" t="str">
        <f>CONCATENATE("A",SUM(AN28,69))</f>
        <v>A131</v>
      </c>
      <c r="AU715" s="247" t="str">
        <f>CONCATENATE("C$",SUM(AN28,67))</f>
        <v>C$129</v>
      </c>
      <c r="AW715" s="116" t="s">
        <v>523</v>
      </c>
      <c r="AY715" s="2" t="e">
        <f>CONCATENATE("_", SUBSTITUTE(SUBSTITUTE(SUBSTITUTE(#REF!," ","_"),"(",""),")",""))</f>
        <v>#REF!</v>
      </c>
    </row>
    <row r="716" spans="39:51" ht="24" customHeight="1">
      <c r="AM716" s="247"/>
      <c r="AN716" s="247"/>
      <c r="AO716" s="247"/>
      <c r="AP716" s="247"/>
      <c r="AQ716" s="247" t="s">
        <v>555</v>
      </c>
      <c r="AR716" s="247"/>
      <c r="AS716" s="247"/>
      <c r="AT716" s="247"/>
      <c r="AU716" s="247"/>
      <c r="AW716" s="116"/>
    </row>
    <row r="717" spans="39:51" ht="13.5" customHeight="1">
      <c r="AM717" s="247"/>
      <c r="AN717" s="247"/>
      <c r="AO717" s="247"/>
      <c r="AP717" s="247"/>
      <c r="AQ717" s="247"/>
      <c r="AR717" s="247"/>
      <c r="AS717" s="247"/>
      <c r="AT717" s="247"/>
      <c r="AU717" s="247"/>
      <c r="AW717" s="116"/>
    </row>
    <row r="718" spans="39:51" ht="24" customHeight="1">
      <c r="AM718" s="247"/>
      <c r="AN718" s="247"/>
      <c r="AO718" s="247"/>
      <c r="AP718" s="247"/>
      <c r="AQ718" s="247"/>
      <c r="AR718" s="247"/>
      <c r="AS718" s="247"/>
      <c r="AT718" s="247"/>
      <c r="AU718" s="247"/>
      <c r="AW718" s="116"/>
    </row>
    <row r="719" spans="39:51" ht="13.5" customHeight="1">
      <c r="AM719" s="247"/>
      <c r="AN719" s="247"/>
      <c r="AO719" s="247" t="s">
        <v>556</v>
      </c>
      <c r="AP719" s="247" t="s">
        <v>557</v>
      </c>
      <c r="AQ719" s="247" t="s">
        <v>558</v>
      </c>
      <c r="AR719" s="247"/>
      <c r="AS719" s="247" t="str">
        <f>CONCATENATE("B",SUM(AN28,71))</f>
        <v>B133</v>
      </c>
      <c r="AT719" s="247" t="str">
        <f>CONCATENATE("A",SUM(AN28,71))</f>
        <v>A133</v>
      </c>
      <c r="AU719" s="247" t="str">
        <f>CONCATENATE("C$",SUM(AN28,69))</f>
        <v>C$131</v>
      </c>
      <c r="AW719" s="116" t="s">
        <v>523</v>
      </c>
      <c r="AY719" s="2" t="e">
        <f>CONCATENATE("_", SUBSTITUTE(SUBSTITUTE(SUBSTITUTE(#REF!," ","_"),"(",""),")",""))</f>
        <v>#REF!</v>
      </c>
    </row>
    <row r="720" spans="39:51" ht="24" customHeight="1">
      <c r="AM720" s="247"/>
      <c r="AN720" s="247"/>
      <c r="AO720" s="247"/>
      <c r="AP720" s="247"/>
      <c r="AQ720" s="247" t="s">
        <v>558</v>
      </c>
      <c r="AR720" s="247"/>
      <c r="AS720" s="247"/>
      <c r="AT720" s="247"/>
      <c r="AU720" s="247"/>
      <c r="AW720" s="116"/>
    </row>
    <row r="721" spans="39:51" ht="13.5" customHeight="1">
      <c r="AM721" s="247"/>
      <c r="AN721" s="247"/>
      <c r="AO721" s="247" t="s">
        <v>559</v>
      </c>
      <c r="AP721" s="247" t="s">
        <v>560</v>
      </c>
      <c r="AQ721" s="247" t="s">
        <v>561</v>
      </c>
      <c r="AR721" s="247"/>
      <c r="AS721" s="247" t="str">
        <f>CONCATENATE("B",SUM(AN28,73))</f>
        <v>B135</v>
      </c>
      <c r="AT721" s="247" t="str">
        <f>CONCATENATE("A",SUM(AN28,73))</f>
        <v>A135</v>
      </c>
      <c r="AU721" s="247" t="str">
        <f>CONCATENATE("C$",SUM(AN28,71))</f>
        <v>C$133</v>
      </c>
      <c r="AW721" s="116" t="s">
        <v>523</v>
      </c>
      <c r="AY721" s="2" t="e">
        <f>CONCATENATE("_", SUBSTITUTE(SUBSTITUTE(SUBSTITUTE(#REF!," ","_"),"(",""),")",""))</f>
        <v>#REF!</v>
      </c>
    </row>
    <row r="722" spans="39:51" ht="24" customHeight="1">
      <c r="AM722" s="247"/>
      <c r="AN722" s="247"/>
      <c r="AO722" s="247"/>
      <c r="AP722" s="247"/>
      <c r="AQ722" s="247" t="s">
        <v>561</v>
      </c>
      <c r="AR722" s="247"/>
      <c r="AS722" s="247"/>
      <c r="AT722" s="247"/>
      <c r="AU722" s="247"/>
      <c r="AW722" s="116"/>
    </row>
    <row r="723" spans="39:51" ht="13.5" customHeight="1">
      <c r="AM723" s="247"/>
      <c r="AN723" s="247"/>
      <c r="AO723" s="247" t="s">
        <v>563</v>
      </c>
      <c r="AP723" s="247" t="s">
        <v>564</v>
      </c>
      <c r="AQ723" s="247" t="s">
        <v>562</v>
      </c>
      <c r="AR723" s="247"/>
      <c r="AS723" s="247" t="str">
        <f>CONCATENATE("B",SUM(AN28,75))</f>
        <v>B137</v>
      </c>
      <c r="AT723" s="247" t="str">
        <f>CONCATENATE("A",SUM(AN28,75))</f>
        <v>A137</v>
      </c>
      <c r="AU723" s="247" t="str">
        <f>CONCATENATE("C$",SUM(AN28,73))</f>
        <v>C$135</v>
      </c>
      <c r="AW723" s="116" t="s">
        <v>523</v>
      </c>
      <c r="AY723" s="2" t="e">
        <f>CONCATENATE("_", SUBSTITUTE(SUBSTITUTE(SUBSTITUTE(#REF!," ","_"),"(",""),")",""))</f>
        <v>#REF!</v>
      </c>
    </row>
    <row r="724" spans="39:51" ht="24" customHeight="1">
      <c r="AM724" s="247"/>
      <c r="AN724" s="247"/>
      <c r="AO724" s="247"/>
      <c r="AP724" s="247"/>
      <c r="AQ724" s="247" t="s">
        <v>562</v>
      </c>
      <c r="AR724" s="247"/>
      <c r="AS724" s="247"/>
      <c r="AT724" s="247"/>
      <c r="AU724" s="247"/>
      <c r="AW724" s="116"/>
    </row>
    <row r="725" spans="39:51" ht="13.5" customHeight="1">
      <c r="AM725" s="247"/>
      <c r="AN725" s="247"/>
      <c r="AO725" s="247" t="s">
        <v>565</v>
      </c>
      <c r="AP725" s="247" t="s">
        <v>566</v>
      </c>
      <c r="AQ725" s="247" t="s">
        <v>567</v>
      </c>
      <c r="AR725" s="247"/>
      <c r="AS725" s="247" t="str">
        <f>CONCATENATE("B",SUM(AN28,77))</f>
        <v>B139</v>
      </c>
      <c r="AT725" s="247" t="str">
        <f>CONCATENATE("A",SUM(AN28,77))</f>
        <v>A139</v>
      </c>
      <c r="AU725" s="247" t="str">
        <f>CONCATENATE("C$",SUM(AN28,75))</f>
        <v>C$137</v>
      </c>
      <c r="AW725" s="116" t="s">
        <v>523</v>
      </c>
      <c r="AY725" s="2" t="e">
        <f>CONCATENATE("_", SUBSTITUTE(SUBSTITUTE(SUBSTITUTE(#REF!," ","_"),"(",""),")",""))</f>
        <v>#REF!</v>
      </c>
    </row>
    <row r="726" spans="39:51" ht="24" customHeight="1">
      <c r="AM726" s="247"/>
      <c r="AN726" s="247"/>
      <c r="AO726" s="247"/>
      <c r="AP726" s="247"/>
      <c r="AQ726" s="247" t="s">
        <v>567</v>
      </c>
      <c r="AR726" s="247"/>
      <c r="AS726" s="247"/>
      <c r="AT726" s="247"/>
      <c r="AU726" s="247"/>
      <c r="AW726" s="116"/>
    </row>
    <row r="727" spans="39:51" ht="13.5" customHeight="1">
      <c r="AM727" s="247"/>
      <c r="AN727" s="247"/>
      <c r="AO727" s="247" t="s">
        <v>568</v>
      </c>
      <c r="AP727" s="247" t="s">
        <v>569</v>
      </c>
      <c r="AQ727" s="247" t="s">
        <v>570</v>
      </c>
      <c r="AR727" s="247"/>
      <c r="AS727" s="247" t="str">
        <f>CONCATENATE("B",SUM(AN28,79))</f>
        <v>B141</v>
      </c>
      <c r="AT727" s="247" t="str">
        <f>CONCATENATE("A",SUM(AN28,79))</f>
        <v>A141</v>
      </c>
      <c r="AU727" s="247" t="str">
        <f>CONCATENATE("C$",SUM(AN28,77))</f>
        <v>C$139</v>
      </c>
      <c r="AW727" s="116" t="s">
        <v>523</v>
      </c>
      <c r="AY727" s="2" t="e">
        <f>CONCATENATE("_", SUBSTITUTE(SUBSTITUTE(SUBSTITUTE(#REF!," ","_"),"(",""),")",""))</f>
        <v>#REF!</v>
      </c>
    </row>
    <row r="728" spans="39:51" ht="24" customHeight="1">
      <c r="AM728" s="247"/>
      <c r="AN728" s="247"/>
      <c r="AO728" s="247"/>
      <c r="AP728" s="247"/>
      <c r="AQ728" s="247" t="s">
        <v>570</v>
      </c>
      <c r="AR728" s="247"/>
      <c r="AS728" s="247"/>
      <c r="AT728" s="247"/>
      <c r="AU728" s="247"/>
      <c r="AW728" s="116"/>
    </row>
    <row r="729" spans="39:51" ht="13.5" customHeight="1">
      <c r="AM729" s="247"/>
      <c r="AN729" s="247"/>
      <c r="AO729" s="247" t="s">
        <v>571</v>
      </c>
      <c r="AP729" s="247" t="s">
        <v>572</v>
      </c>
      <c r="AQ729" s="247" t="s">
        <v>573</v>
      </c>
      <c r="AR729" s="247"/>
      <c r="AS729" s="247" t="str">
        <f>CONCATENATE("B",SUM(AN28,81))</f>
        <v>B143</v>
      </c>
      <c r="AT729" s="247" t="str">
        <f>CONCATENATE("A",SUM(AN28,81))</f>
        <v>A143</v>
      </c>
      <c r="AU729" s="247" t="str">
        <f>CONCATENATE("C$",SUM(AN28,79))</f>
        <v>C$141</v>
      </c>
      <c r="AW729" s="116" t="s">
        <v>523</v>
      </c>
      <c r="AY729" s="2" t="e">
        <f>CONCATENATE("_", SUBSTITUTE(SUBSTITUTE(SUBSTITUTE(#REF!," ","_"),"(",""),")",""))</f>
        <v>#REF!</v>
      </c>
    </row>
    <row r="730" spans="39:51" ht="24" customHeight="1">
      <c r="AM730" s="247"/>
      <c r="AN730" s="247"/>
      <c r="AO730" s="247"/>
      <c r="AP730" s="247"/>
      <c r="AQ730" s="247" t="s">
        <v>573</v>
      </c>
      <c r="AR730" s="247"/>
      <c r="AS730" s="247"/>
      <c r="AT730" s="247"/>
      <c r="AU730" s="247"/>
      <c r="AW730" s="116"/>
    </row>
    <row r="731" spans="39:51" ht="13.5" customHeight="1">
      <c r="AM731" s="247"/>
      <c r="AN731" s="247"/>
      <c r="AO731" s="247" t="s">
        <v>574</v>
      </c>
      <c r="AP731" s="247" t="s">
        <v>575</v>
      </c>
      <c r="AQ731" s="247" t="s">
        <v>576</v>
      </c>
      <c r="AR731" s="247"/>
      <c r="AS731" s="247" t="str">
        <f>CONCATENATE("B",SUM(AN28,83))</f>
        <v>B145</v>
      </c>
      <c r="AT731" s="247" t="str">
        <f>CONCATENATE("A",SUM(AN28,83))</f>
        <v>A145</v>
      </c>
      <c r="AU731" s="247" t="str">
        <f>CONCATENATE("C$",SUM(AN28,81))</f>
        <v>C$143</v>
      </c>
      <c r="AW731" s="116" t="s">
        <v>523</v>
      </c>
      <c r="AY731" s="2" t="e">
        <f>CONCATENATE("_", SUBSTITUTE(SUBSTITUTE(SUBSTITUTE(#REF!," ","_"),"(",""),")",""))</f>
        <v>#REF!</v>
      </c>
    </row>
    <row r="732" spans="39:51" ht="24" customHeight="1">
      <c r="AM732" s="247"/>
      <c r="AN732" s="247"/>
      <c r="AO732" s="247"/>
      <c r="AP732" s="247"/>
      <c r="AQ732" s="247" t="s">
        <v>576</v>
      </c>
      <c r="AR732" s="247"/>
      <c r="AS732" s="247"/>
      <c r="AT732" s="247"/>
      <c r="AU732" s="247"/>
      <c r="AW732" s="116"/>
    </row>
    <row r="733" spans="39:51" ht="13.5" customHeight="1">
      <c r="AM733" s="247"/>
      <c r="AN733" s="247"/>
      <c r="AO733" s="247" t="s">
        <v>577</v>
      </c>
      <c r="AP733" s="247" t="s">
        <v>578</v>
      </c>
      <c r="AQ733" s="247" t="s">
        <v>579</v>
      </c>
      <c r="AR733" s="247"/>
      <c r="AS733" s="247" t="str">
        <f>CONCATENATE("B",SUM(AN28,85))</f>
        <v>B147</v>
      </c>
      <c r="AT733" s="247" t="str">
        <f>CONCATENATE("A",SUM(AN28,85))</f>
        <v>A147</v>
      </c>
      <c r="AU733" s="247" t="str">
        <f>CONCATENATE("C$",SUM(AN28,83))</f>
        <v>C$145</v>
      </c>
      <c r="AW733" s="116" t="s">
        <v>523</v>
      </c>
      <c r="AY733" s="2" t="e">
        <f>CONCATENATE("_", SUBSTITUTE(SUBSTITUTE(SUBSTITUTE(#REF!," ","_"),"(",""),")",""))</f>
        <v>#REF!</v>
      </c>
    </row>
    <row r="734" spans="39:51" ht="24" customHeight="1">
      <c r="AM734" s="247"/>
      <c r="AN734" s="247"/>
      <c r="AO734" s="247"/>
      <c r="AP734" s="247"/>
      <c r="AQ734" s="247" t="s">
        <v>579</v>
      </c>
      <c r="AR734" s="247"/>
      <c r="AS734" s="247"/>
      <c r="AT734" s="247"/>
      <c r="AU734" s="247"/>
      <c r="AW734" s="116"/>
    </row>
    <row r="735" spans="39:51" ht="13.5" customHeight="1">
      <c r="AM735" s="247"/>
      <c r="AN735" s="247"/>
      <c r="AO735" s="247" t="s">
        <v>580</v>
      </c>
      <c r="AP735" s="247" t="s">
        <v>581</v>
      </c>
      <c r="AQ735" s="247" t="s">
        <v>582</v>
      </c>
      <c r="AR735" s="247"/>
      <c r="AS735" s="247" t="str">
        <f>CONCATENATE("B",SUM(AN28,87))</f>
        <v>B149</v>
      </c>
      <c r="AT735" s="247" t="str">
        <f>CONCATENATE("A",SUM(AN28,87))</f>
        <v>A149</v>
      </c>
      <c r="AU735" s="247" t="str">
        <f>CONCATENATE("C$",SUM(AN28,85))</f>
        <v>C$147</v>
      </c>
      <c r="AW735" s="116" t="s">
        <v>523</v>
      </c>
      <c r="AY735" s="2" t="e">
        <f>CONCATENATE("_", SUBSTITUTE(SUBSTITUTE(SUBSTITUTE(#REF!," ","_"),"(",""),")",""))</f>
        <v>#REF!</v>
      </c>
    </row>
    <row r="736" spans="39:51" ht="24" customHeight="1">
      <c r="AM736" s="247"/>
      <c r="AN736" s="247"/>
      <c r="AO736" s="247"/>
      <c r="AP736" s="247"/>
      <c r="AQ736" s="247" t="s">
        <v>582</v>
      </c>
      <c r="AR736" s="247"/>
      <c r="AS736" s="247"/>
      <c r="AT736" s="247"/>
      <c r="AU736" s="247"/>
      <c r="AW736" s="116"/>
    </row>
    <row r="737" spans="39:51" ht="13.5" customHeight="1">
      <c r="AM737" s="247"/>
      <c r="AN737" s="247"/>
      <c r="AO737" s="247" t="s">
        <v>584</v>
      </c>
      <c r="AP737" s="247" t="s">
        <v>585</v>
      </c>
      <c r="AQ737" s="247" t="s">
        <v>583</v>
      </c>
      <c r="AR737" s="247"/>
      <c r="AS737" s="247" t="str">
        <f>CONCATENATE("B",SUM(AN28,89))</f>
        <v>B151</v>
      </c>
      <c r="AT737" s="247" t="str">
        <f>CONCATENATE("A",SUM(AN28,89))</f>
        <v>A151</v>
      </c>
      <c r="AU737" s="247" t="str">
        <f>CONCATENATE("C$",SUM(AN28,87))</f>
        <v>C$149</v>
      </c>
      <c r="AW737" s="116" t="s">
        <v>523</v>
      </c>
      <c r="AY737" s="2" t="e">
        <f>CONCATENATE("_", SUBSTITUTE(SUBSTITUTE(SUBSTITUTE(#REF!," ","_"),"(",""),")",""))</f>
        <v>#REF!</v>
      </c>
    </row>
    <row r="738" spans="39:51" ht="24" customHeight="1">
      <c r="AM738" s="247"/>
      <c r="AN738" s="247"/>
      <c r="AO738" s="247"/>
      <c r="AP738" s="247"/>
      <c r="AQ738" s="247" t="s">
        <v>583</v>
      </c>
      <c r="AR738" s="247"/>
      <c r="AS738" s="247"/>
      <c r="AT738" s="247"/>
      <c r="AU738" s="247"/>
      <c r="AW738" s="116"/>
    </row>
    <row r="739" spans="39:51" ht="13.5" customHeight="1">
      <c r="AM739" s="247"/>
      <c r="AN739" s="247"/>
      <c r="AO739" s="247" t="s">
        <v>586</v>
      </c>
      <c r="AP739" s="247" t="s">
        <v>587</v>
      </c>
      <c r="AQ739" s="247" t="s">
        <v>588</v>
      </c>
      <c r="AR739" s="247"/>
      <c r="AS739" s="247" t="str">
        <f>CONCATENATE("B",SUM(AN28,91))</f>
        <v>B153</v>
      </c>
      <c r="AT739" s="247" t="str">
        <f>CONCATENATE("A",SUM(AN28,91))</f>
        <v>A153</v>
      </c>
      <c r="AU739" s="247" t="str">
        <f>CONCATENATE("C$",SUM(AN28,89))</f>
        <v>C$151</v>
      </c>
      <c r="AW739" s="116" t="s">
        <v>523</v>
      </c>
      <c r="AY739" s="2" t="e">
        <f>CONCATENATE("_", SUBSTITUTE(SUBSTITUTE(SUBSTITUTE(#REF!," ","_"),"(",""),")",""))</f>
        <v>#REF!</v>
      </c>
    </row>
    <row r="740" spans="39:51" ht="24" customHeight="1">
      <c r="AM740" s="247"/>
      <c r="AN740" s="247"/>
      <c r="AO740" s="247"/>
      <c r="AP740" s="247"/>
      <c r="AQ740" s="247" t="s">
        <v>588</v>
      </c>
      <c r="AR740" s="247"/>
      <c r="AS740" s="247"/>
      <c r="AT740" s="247"/>
      <c r="AU740" s="247"/>
      <c r="AW740" s="116"/>
    </row>
    <row r="741" spans="39:51" ht="13.5" customHeight="1">
      <c r="AM741" s="247"/>
      <c r="AN741" s="247"/>
      <c r="AO741" s="247" t="s">
        <v>589</v>
      </c>
      <c r="AP741" s="247" t="s">
        <v>590</v>
      </c>
      <c r="AQ741" s="247" t="s">
        <v>591</v>
      </c>
      <c r="AR741" s="247"/>
      <c r="AS741" s="247" t="str">
        <f>CONCATENATE("B",SUM(AN28,93))</f>
        <v>B155</v>
      </c>
      <c r="AT741" s="247" t="str">
        <f>CONCATENATE("A",SUM(AN28,93))</f>
        <v>A155</v>
      </c>
      <c r="AU741" s="247" t="str">
        <f>CONCATENATE("C$",SUM(AN28,91))</f>
        <v>C$153</v>
      </c>
      <c r="AW741" s="116" t="s">
        <v>523</v>
      </c>
      <c r="AY741" s="2" t="e">
        <f>CONCATENATE("_", SUBSTITUTE(SUBSTITUTE(SUBSTITUTE(#REF!," ","_"),"(",""),")",""))</f>
        <v>#REF!</v>
      </c>
    </row>
    <row r="742" spans="39:51" ht="24" customHeight="1">
      <c r="AM742" s="247"/>
      <c r="AN742" s="247"/>
      <c r="AO742" s="247"/>
      <c r="AP742" s="247"/>
      <c r="AQ742" s="247" t="s">
        <v>591</v>
      </c>
      <c r="AR742" s="247"/>
      <c r="AS742" s="247"/>
      <c r="AT742" s="247"/>
      <c r="AU742" s="247"/>
      <c r="AW742" s="116"/>
    </row>
    <row r="743" spans="39:51" ht="13.5" customHeight="1">
      <c r="AM743" s="247"/>
      <c r="AN743" s="247"/>
      <c r="AO743" s="247" t="s">
        <v>592</v>
      </c>
      <c r="AP743" s="247" t="s">
        <v>593</v>
      </c>
      <c r="AQ743" s="247" t="s">
        <v>594</v>
      </c>
      <c r="AR743" s="247"/>
      <c r="AS743" s="247" t="str">
        <f>CONCATENATE("B",SUM(AN28,95))</f>
        <v>B157</v>
      </c>
      <c r="AT743" s="247" t="str">
        <f>CONCATENATE("B",SUM(AN28,95))</f>
        <v>B157</v>
      </c>
      <c r="AU743" s="247" t="str">
        <f>CONCATENATE("C$",SUM(AN28,93))</f>
        <v>C$155</v>
      </c>
      <c r="AW743" s="116" t="s">
        <v>523</v>
      </c>
      <c r="AY743" s="2" t="e">
        <f>CONCATENATE("_", SUBSTITUTE(SUBSTITUTE(SUBSTITUTE(#REF!," ","_"),"(",""),")",""))</f>
        <v>#REF!</v>
      </c>
    </row>
    <row r="744" spans="39:51" ht="24" customHeight="1">
      <c r="AM744" s="247"/>
      <c r="AN744" s="247"/>
      <c r="AO744" s="247"/>
      <c r="AP744" s="247"/>
      <c r="AQ744" s="247" t="s">
        <v>594</v>
      </c>
      <c r="AR744" s="247"/>
      <c r="AS744" s="247"/>
      <c r="AT744" s="247"/>
      <c r="AU744" s="247"/>
      <c r="AW744" s="116"/>
    </row>
    <row r="745" spans="39:51" ht="13.5" customHeight="1">
      <c r="AM745" s="247"/>
      <c r="AN745" s="247"/>
      <c r="AO745" s="247" t="s">
        <v>595</v>
      </c>
      <c r="AP745" s="247" t="s">
        <v>596</v>
      </c>
      <c r="AQ745" s="247" t="s">
        <v>597</v>
      </c>
      <c r="AR745" s="247"/>
      <c r="AS745" s="247" t="str">
        <f>CONCATENATE("B",SUM(AN28,97))</f>
        <v>B159</v>
      </c>
      <c r="AT745" s="247" t="str">
        <f>CONCATENATE("B",SUM(AN28,97))</f>
        <v>B159</v>
      </c>
      <c r="AU745" s="247" t="str">
        <f>CONCATENATE("C$",SUM(AN28,95))</f>
        <v>C$157</v>
      </c>
      <c r="AW745" s="116" t="s">
        <v>523</v>
      </c>
      <c r="AY745" s="2" t="e">
        <f>CONCATENATE("_", SUBSTITUTE(SUBSTITUTE(SUBSTITUTE(#REF!," ","_"),"(",""),")",""))</f>
        <v>#REF!</v>
      </c>
    </row>
    <row r="746" spans="39:51" ht="24" customHeight="1">
      <c r="AM746" s="247"/>
      <c r="AN746" s="247"/>
      <c r="AO746" s="247"/>
      <c r="AP746" s="247"/>
      <c r="AQ746" s="247" t="s">
        <v>597</v>
      </c>
      <c r="AR746" s="247"/>
      <c r="AS746" s="247"/>
      <c r="AT746" s="247"/>
      <c r="AU746" s="247"/>
      <c r="AW746" s="116"/>
    </row>
    <row r="747" spans="39:51" ht="13.5" customHeight="1">
      <c r="AM747" s="247"/>
      <c r="AN747" s="247"/>
      <c r="AO747" s="247" t="s">
        <v>598</v>
      </c>
      <c r="AP747" s="247" t="s">
        <v>599</v>
      </c>
      <c r="AQ747" s="247" t="s">
        <v>600</v>
      </c>
      <c r="AR747" s="247"/>
      <c r="AS747" s="247" t="str">
        <f>CONCATENATE("B",SUM(AN28,99))</f>
        <v>B161</v>
      </c>
      <c r="AT747" s="247" t="str">
        <f>CONCATENATE("A",SUM(AN28,99))</f>
        <v>A161</v>
      </c>
      <c r="AU747" s="247" t="str">
        <f>CONCATENATE("C$",SUM(AN28,97))</f>
        <v>C$159</v>
      </c>
      <c r="AW747" s="116" t="s">
        <v>523</v>
      </c>
      <c r="AY747" s="2" t="e">
        <f>CONCATENATE("_", SUBSTITUTE(SUBSTITUTE(SUBSTITUTE(#REF!," ","_"),"(",""),")",""))</f>
        <v>#REF!</v>
      </c>
    </row>
    <row r="748" spans="39:51" ht="24" customHeight="1">
      <c r="AM748" s="247"/>
      <c r="AN748" s="247"/>
      <c r="AO748" s="247"/>
      <c r="AP748" s="247"/>
      <c r="AQ748" s="247" t="s">
        <v>600</v>
      </c>
      <c r="AR748" s="247"/>
      <c r="AS748" s="247"/>
      <c r="AT748" s="247"/>
      <c r="AU748" s="247"/>
      <c r="AW748" s="116"/>
    </row>
    <row r="749" spans="39:51" ht="13.5" customHeight="1">
      <c r="AM749" s="247"/>
      <c r="AN749" s="247"/>
      <c r="AO749" s="247" t="s">
        <v>601</v>
      </c>
      <c r="AP749" s="247" t="s">
        <v>602</v>
      </c>
      <c r="AQ749" s="247" t="s">
        <v>603</v>
      </c>
      <c r="AR749" s="247"/>
      <c r="AS749" s="247" t="str">
        <f>CONCATENATE("B",SUM(AN28,101))</f>
        <v>B163</v>
      </c>
      <c r="AT749" s="247" t="str">
        <f>CONCATENATE("A",SUM(AN28,101))</f>
        <v>A163</v>
      </c>
      <c r="AU749" s="247" t="str">
        <f>CONCATENATE("C$",SUM(AN28,99))</f>
        <v>C$161</v>
      </c>
      <c r="AW749" s="116" t="s">
        <v>523</v>
      </c>
      <c r="AY749" s="2" t="e">
        <f>CONCATENATE("_", SUBSTITUTE(SUBSTITUTE(SUBSTITUTE(#REF!," ","_"),"(",""),")",""))</f>
        <v>#REF!</v>
      </c>
    </row>
    <row r="750" spans="39:51" ht="24" customHeight="1">
      <c r="AM750" s="247"/>
      <c r="AN750" s="247"/>
      <c r="AO750" s="247"/>
      <c r="AP750" s="247"/>
      <c r="AQ750" s="247"/>
      <c r="AR750" s="247"/>
      <c r="AS750" s="247"/>
      <c r="AT750" s="247"/>
      <c r="AU750" s="247"/>
      <c r="AW750" s="116"/>
    </row>
    <row r="751" spans="39:51" ht="13.5" customHeight="1">
      <c r="AM751" s="247"/>
      <c r="AN751" s="247"/>
      <c r="AO751" s="247"/>
      <c r="AP751" s="247"/>
      <c r="AQ751" s="247"/>
      <c r="AR751" s="247"/>
      <c r="AS751" s="247"/>
      <c r="AT751" s="247"/>
      <c r="AU751" s="247"/>
      <c r="AW751" s="116"/>
      <c r="AY751" s="2" t="e">
        <f>CONCATENATE("_", SUBSTITUTE(SUBSTITUTE(SUBSTITUTE(#REF!," ","_"),"(",""),")",""))</f>
        <v>#REF!</v>
      </c>
    </row>
    <row r="752" spans="39:51" ht="24" customHeight="1">
      <c r="AM752" s="247"/>
      <c r="AN752" s="247"/>
      <c r="AO752" s="247"/>
      <c r="AP752" s="247"/>
      <c r="AQ752" s="247"/>
      <c r="AR752" s="247"/>
      <c r="AS752" s="247"/>
      <c r="AT752" s="247"/>
      <c r="AU752" s="247"/>
      <c r="AW752" s="116"/>
    </row>
    <row r="753" spans="39:51" ht="13.5" customHeight="1">
      <c r="AM753" s="247"/>
      <c r="AN753" s="247"/>
      <c r="AO753" s="247"/>
      <c r="AP753" s="247"/>
      <c r="AQ753" s="247"/>
      <c r="AR753" s="247"/>
      <c r="AS753" s="247"/>
      <c r="AT753" s="247"/>
      <c r="AU753" s="247"/>
      <c r="AW753" s="116"/>
      <c r="AY753" s="2" t="e">
        <f>CONCATENATE("_", SUBSTITUTE(SUBSTITUTE(SUBSTITUTE(#REF!," ","_"),"(",""),")",""))</f>
        <v>#REF!</v>
      </c>
    </row>
    <row r="754" spans="39:51" ht="24" customHeight="1">
      <c r="AM754" s="247"/>
      <c r="AN754" s="247"/>
      <c r="AO754" s="247"/>
      <c r="AP754" s="247"/>
      <c r="AQ754" s="247"/>
      <c r="AR754" s="247"/>
      <c r="AS754" s="247"/>
      <c r="AT754" s="247"/>
      <c r="AU754" s="247"/>
      <c r="AW754" s="116"/>
    </row>
    <row r="755" spans="39:51" ht="13.5" customHeight="1">
      <c r="AM755" s="247"/>
      <c r="AN755" s="247"/>
      <c r="AO755" s="247"/>
      <c r="AP755" s="247"/>
      <c r="AQ755" s="247"/>
      <c r="AR755" s="247"/>
      <c r="AS755" s="247"/>
      <c r="AT755" s="247"/>
      <c r="AU755" s="247"/>
      <c r="AW755" s="116"/>
      <c r="AY755" s="2" t="e">
        <f>CONCATENATE("_", SUBSTITUTE(SUBSTITUTE(SUBSTITUTE(#REF!," ","_"),"(",""),")",""))</f>
        <v>#REF!</v>
      </c>
    </row>
    <row r="756" spans="39:51" ht="24" customHeight="1">
      <c r="AM756" s="247"/>
      <c r="AN756" s="247"/>
      <c r="AO756" s="247"/>
      <c r="AP756" s="247"/>
      <c r="AQ756" s="247"/>
      <c r="AR756" s="247"/>
      <c r="AS756" s="247"/>
      <c r="AT756" s="247"/>
      <c r="AU756" s="247"/>
      <c r="AW756" s="116"/>
    </row>
    <row r="757" spans="39:51" ht="13.5" customHeight="1">
      <c r="AM757" s="247"/>
      <c r="AN757" s="247"/>
      <c r="AO757" s="247"/>
      <c r="AP757" s="247"/>
      <c r="AQ757" s="247"/>
      <c r="AR757" s="247"/>
      <c r="AS757" s="247"/>
      <c r="AT757" s="247"/>
      <c r="AU757" s="247"/>
      <c r="AW757" s="116"/>
      <c r="AY757" s="2" t="e">
        <f>CONCATENATE("_", SUBSTITUTE(SUBSTITUTE(SUBSTITUTE(#REF!," ","_"),"(",""),")",""))</f>
        <v>#REF!</v>
      </c>
    </row>
    <row r="758" spans="39:51" ht="24" customHeight="1">
      <c r="AM758" s="247"/>
      <c r="AN758" s="247"/>
      <c r="AO758" s="247"/>
      <c r="AP758" s="247"/>
      <c r="AQ758" s="247"/>
      <c r="AR758" s="247"/>
      <c r="AS758" s="247"/>
      <c r="AT758" s="247"/>
      <c r="AU758" s="247"/>
      <c r="AW758" s="116"/>
    </row>
    <row r="759" spans="39:51" ht="13.5" customHeight="1">
      <c r="AM759" s="247"/>
      <c r="AN759" s="247"/>
      <c r="AO759" s="247"/>
      <c r="AP759" s="247"/>
      <c r="AQ759" s="247"/>
      <c r="AR759" s="247"/>
      <c r="AS759" s="247"/>
      <c r="AT759" s="247"/>
      <c r="AU759" s="247"/>
      <c r="AW759" s="116"/>
      <c r="AY759" s="2" t="e">
        <f>CONCATENATE("_", SUBSTITUTE(SUBSTITUTE(SUBSTITUTE(#REF!," ","_"),"(",""),")",""))</f>
        <v>#REF!</v>
      </c>
    </row>
    <row r="760" spans="39:51" ht="24" customHeight="1">
      <c r="AM760" s="247"/>
      <c r="AN760" s="247"/>
      <c r="AO760" s="247"/>
      <c r="AP760" s="247"/>
      <c r="AQ760" s="247"/>
      <c r="AR760" s="247"/>
      <c r="AS760" s="247"/>
      <c r="AT760" s="247"/>
      <c r="AU760" s="247"/>
      <c r="AW760" s="116"/>
    </row>
    <row r="761" spans="39:51" ht="13.5" customHeight="1">
      <c r="AM761" s="247"/>
      <c r="AN761" s="247"/>
      <c r="AO761" s="247"/>
      <c r="AP761" s="247"/>
      <c r="AQ761" s="247"/>
      <c r="AR761" s="247"/>
      <c r="AS761" s="247"/>
      <c r="AT761" s="247"/>
      <c r="AU761" s="247"/>
      <c r="AW761" s="116"/>
      <c r="AY761" s="2" t="e">
        <f>CONCATENATE("_", SUBSTITUTE(SUBSTITUTE(SUBSTITUTE(#REF!," ","_"),"(",""),")",""))</f>
        <v>#REF!</v>
      </c>
    </row>
    <row r="762" spans="39:51" ht="24" customHeight="1">
      <c r="AM762" s="247"/>
      <c r="AN762" s="247"/>
      <c r="AO762" s="247"/>
      <c r="AP762" s="247"/>
      <c r="AQ762" s="247"/>
      <c r="AR762" s="247"/>
      <c r="AS762" s="247"/>
      <c r="AT762" s="247"/>
      <c r="AU762" s="247"/>
      <c r="AW762" s="116"/>
    </row>
    <row r="763" spans="39:51" ht="13.5" customHeight="1">
      <c r="AM763" s="247"/>
      <c r="AN763" s="247"/>
      <c r="AO763" s="247"/>
      <c r="AP763" s="247"/>
      <c r="AQ763" s="247"/>
      <c r="AR763" s="247"/>
      <c r="AS763" s="247"/>
      <c r="AT763" s="247"/>
      <c r="AU763" s="247"/>
      <c r="AW763" s="116"/>
      <c r="AY763" s="2" t="e">
        <f>CONCATENATE("_", SUBSTITUTE(SUBSTITUTE(SUBSTITUTE(#REF!," ","_"),"(",""),")",""))</f>
        <v>#REF!</v>
      </c>
    </row>
    <row r="764" spans="39:51" ht="24" customHeight="1">
      <c r="AM764" s="247"/>
      <c r="AN764" s="247"/>
      <c r="AO764" s="247"/>
      <c r="AP764" s="247"/>
      <c r="AQ764" s="247"/>
      <c r="AR764" s="247"/>
      <c r="AS764" s="247"/>
      <c r="AT764" s="247"/>
      <c r="AU764" s="247"/>
      <c r="AW764" s="116"/>
    </row>
    <row r="765" spans="39:51" ht="13.5" customHeight="1">
      <c r="AM765" s="247"/>
      <c r="AN765" s="247"/>
      <c r="AO765" s="247"/>
      <c r="AP765" s="247"/>
      <c r="AQ765" s="247"/>
      <c r="AR765" s="247"/>
      <c r="AS765" s="247"/>
      <c r="AT765" s="247"/>
      <c r="AU765" s="247"/>
      <c r="AW765" s="116"/>
      <c r="AY765" s="2" t="e">
        <f>CONCATENATE("_", SUBSTITUTE(SUBSTITUTE(SUBSTITUTE(#REF!," ","_"),"(",""),")",""))</f>
        <v>#REF!</v>
      </c>
    </row>
    <row r="766" spans="39:51" ht="24" customHeight="1">
      <c r="AM766" s="247"/>
      <c r="AN766" s="247"/>
      <c r="AO766" s="247"/>
      <c r="AP766" s="247"/>
      <c r="AQ766" s="247"/>
      <c r="AR766" s="247"/>
      <c r="AS766" s="247"/>
      <c r="AT766" s="247"/>
      <c r="AU766" s="247"/>
      <c r="AW766" s="116"/>
    </row>
    <row r="767" spans="39:51" ht="13.5" customHeight="1">
      <c r="AM767" s="247"/>
      <c r="AN767" s="247"/>
      <c r="AO767" s="247"/>
      <c r="AP767" s="247"/>
      <c r="AQ767" s="247"/>
      <c r="AR767" s="247"/>
      <c r="AS767" s="247"/>
      <c r="AT767" s="247"/>
      <c r="AU767" s="247"/>
      <c r="AW767" s="116"/>
      <c r="AY767" s="2" t="e">
        <f>CONCATENATE("_", SUBSTITUTE(SUBSTITUTE(SUBSTITUTE(#REF!," ","_"),"(",""),")",""))</f>
        <v>#REF!</v>
      </c>
    </row>
    <row r="768" spans="39:51" ht="24" customHeight="1">
      <c r="AM768" s="247"/>
      <c r="AN768" s="247"/>
      <c r="AO768" s="247"/>
      <c r="AP768" s="247"/>
      <c r="AQ768" s="247"/>
      <c r="AR768" s="247"/>
      <c r="AS768" s="247"/>
      <c r="AT768" s="247"/>
      <c r="AU768" s="247"/>
      <c r="AW768" s="116"/>
    </row>
    <row r="769" spans="39:51" ht="13.5" customHeight="1">
      <c r="AM769" s="247"/>
      <c r="AN769" s="247"/>
      <c r="AO769" s="247"/>
      <c r="AP769" s="247"/>
      <c r="AQ769" s="247"/>
      <c r="AR769" s="247"/>
      <c r="AS769" s="247"/>
      <c r="AT769" s="247"/>
      <c r="AU769" s="247"/>
      <c r="AW769" s="116"/>
      <c r="AY769" s="2" t="e">
        <f>CONCATENATE("_", SUBSTITUTE(SUBSTITUTE(SUBSTITUTE(#REF!," ","_"),"(",""),")",""))</f>
        <v>#REF!</v>
      </c>
    </row>
    <row r="770" spans="39:51" ht="24" customHeight="1">
      <c r="AM770" s="247"/>
      <c r="AN770" s="247"/>
      <c r="AO770" s="247"/>
      <c r="AP770" s="247"/>
      <c r="AQ770" s="247"/>
      <c r="AR770" s="247"/>
      <c r="AS770" s="247"/>
      <c r="AT770" s="247"/>
      <c r="AU770" s="247"/>
      <c r="AW770" s="116"/>
    </row>
    <row r="771" spans="39:51" ht="13.5" customHeight="1">
      <c r="AM771" s="247"/>
      <c r="AN771" s="247"/>
      <c r="AO771" s="247"/>
      <c r="AP771" s="247"/>
      <c r="AQ771" s="247"/>
      <c r="AR771" s="247"/>
      <c r="AS771" s="247"/>
      <c r="AT771" s="247"/>
      <c r="AU771" s="247"/>
      <c r="AW771" s="116"/>
      <c r="AY771" s="2" t="e">
        <f>CONCATENATE("_", SUBSTITUTE(SUBSTITUTE(SUBSTITUTE(#REF!," ","_"),"(",""),")",""))</f>
        <v>#REF!</v>
      </c>
    </row>
    <row r="772" spans="39:51" ht="24" customHeight="1">
      <c r="AM772" s="247"/>
      <c r="AN772" s="247"/>
      <c r="AO772" s="247"/>
      <c r="AP772" s="247"/>
      <c r="AQ772" s="247"/>
      <c r="AR772" s="247"/>
      <c r="AS772" s="247"/>
      <c r="AT772" s="247"/>
      <c r="AU772" s="247"/>
      <c r="AW772" s="116"/>
    </row>
    <row r="773" spans="39:51" ht="13.5" customHeight="1">
      <c r="AM773" s="247"/>
      <c r="AN773" s="247"/>
      <c r="AO773" s="247"/>
      <c r="AP773" s="247"/>
      <c r="AQ773" s="247"/>
      <c r="AR773" s="247"/>
      <c r="AS773" s="247"/>
      <c r="AT773" s="247"/>
      <c r="AU773" s="247"/>
      <c r="AW773" s="116"/>
      <c r="AY773" s="2" t="e">
        <f>CONCATENATE("_", SUBSTITUTE(SUBSTITUTE(SUBSTITUTE(#REF!," ","_"),"(",""),")",""))</f>
        <v>#REF!</v>
      </c>
    </row>
    <row r="774" spans="39:51" ht="24" customHeight="1">
      <c r="AM774" s="247"/>
      <c r="AN774" s="247"/>
      <c r="AO774" s="247"/>
      <c r="AP774" s="247"/>
      <c r="AQ774" s="247"/>
      <c r="AR774" s="247"/>
      <c r="AS774" s="247"/>
      <c r="AT774" s="247"/>
      <c r="AU774" s="247"/>
      <c r="AW774" s="116"/>
    </row>
    <row r="775" spans="39:51" ht="13.5" customHeight="1">
      <c r="AM775" s="247"/>
      <c r="AN775" s="247"/>
      <c r="AO775" s="247"/>
      <c r="AP775" s="247"/>
      <c r="AQ775" s="247"/>
      <c r="AR775" s="247"/>
      <c r="AS775" s="247"/>
      <c r="AT775" s="247"/>
      <c r="AU775" s="247"/>
      <c r="AW775" s="116"/>
      <c r="AY775" s="2" t="e">
        <f>CONCATENATE("_", SUBSTITUTE(SUBSTITUTE(SUBSTITUTE(#REF!," ","_"),"(",""),")",""))</f>
        <v>#REF!</v>
      </c>
    </row>
    <row r="776" spans="39:51" ht="24" customHeight="1">
      <c r="AM776" s="247"/>
      <c r="AN776" s="247"/>
      <c r="AO776" s="247"/>
      <c r="AP776" s="247"/>
      <c r="AQ776" s="247"/>
      <c r="AR776" s="247"/>
      <c r="AS776" s="247"/>
      <c r="AT776" s="247"/>
      <c r="AU776" s="247"/>
      <c r="AW776" s="116"/>
    </row>
    <row r="777" spans="39:51" ht="13.5" customHeight="1">
      <c r="AM777" s="247"/>
      <c r="AN777" s="247"/>
      <c r="AO777" s="247"/>
      <c r="AP777" s="247"/>
      <c r="AQ777" s="247"/>
      <c r="AR777" s="247"/>
      <c r="AS777" s="247"/>
      <c r="AT777" s="247"/>
      <c r="AU777" s="247"/>
      <c r="AW777" s="116"/>
      <c r="AY777" s="2" t="e">
        <f>CONCATENATE("_", SUBSTITUTE(SUBSTITUTE(SUBSTITUTE(#REF!," ","_"),"(",""),")",""))</f>
        <v>#REF!</v>
      </c>
    </row>
    <row r="778" spans="39:51" ht="24" customHeight="1">
      <c r="AM778" s="247"/>
      <c r="AN778" s="247"/>
      <c r="AO778" s="247"/>
      <c r="AP778" s="247"/>
      <c r="AQ778" s="247"/>
      <c r="AR778" s="247"/>
      <c r="AS778" s="247"/>
      <c r="AT778" s="247"/>
      <c r="AU778" s="247"/>
      <c r="AW778" s="116"/>
    </row>
    <row r="779" spans="39:51" ht="13.5" customHeight="1">
      <c r="AM779" s="247"/>
      <c r="AN779" s="247"/>
      <c r="AO779" s="247"/>
      <c r="AP779" s="247"/>
      <c r="AQ779" s="247"/>
      <c r="AR779" s="247"/>
      <c r="AS779" s="247"/>
      <c r="AT779" s="247"/>
      <c r="AU779" s="247"/>
      <c r="AW779" s="116"/>
      <c r="AY779" s="2" t="e">
        <f>CONCATENATE("_", SUBSTITUTE(SUBSTITUTE(SUBSTITUTE(#REF!," ","_"),"(",""),")",""))</f>
        <v>#REF!</v>
      </c>
    </row>
    <row r="780" spans="39:51" ht="24" customHeight="1">
      <c r="AM780" s="247"/>
      <c r="AN780" s="247"/>
      <c r="AO780" s="247"/>
      <c r="AP780" s="247"/>
      <c r="AQ780" s="247"/>
      <c r="AR780" s="247"/>
      <c r="AS780" s="247"/>
      <c r="AT780" s="247"/>
      <c r="AU780" s="247"/>
      <c r="AW780" s="116"/>
    </row>
    <row r="781" spans="39:51" ht="13.5" customHeight="1">
      <c r="AM781" s="247"/>
      <c r="AN781" s="247"/>
      <c r="AO781" s="247"/>
      <c r="AP781" s="247"/>
      <c r="AQ781" s="247"/>
      <c r="AR781" s="247"/>
      <c r="AS781" s="247"/>
      <c r="AT781" s="247"/>
      <c r="AU781" s="247"/>
      <c r="AW781" s="116"/>
      <c r="AY781" s="2" t="e">
        <f>CONCATENATE("_", SUBSTITUTE(SUBSTITUTE(SUBSTITUTE(#REF!," ","_"),"(",""),")",""))</f>
        <v>#REF!</v>
      </c>
    </row>
    <row r="782" spans="39:51" ht="24" customHeight="1">
      <c r="AM782" s="247"/>
      <c r="AN782" s="247"/>
      <c r="AO782" s="247"/>
      <c r="AP782" s="247"/>
      <c r="AQ782" s="247"/>
      <c r="AR782" s="247"/>
      <c r="AS782" s="247"/>
      <c r="AT782" s="247"/>
      <c r="AU782" s="247"/>
      <c r="AW782" s="116"/>
    </row>
    <row r="783" spans="39:51" ht="13.5" customHeight="1">
      <c r="AM783" s="247"/>
      <c r="AN783" s="247"/>
      <c r="AO783" s="247"/>
      <c r="AP783" s="247"/>
      <c r="AQ783" s="247"/>
      <c r="AR783" s="247"/>
      <c r="AS783" s="247"/>
      <c r="AT783" s="247"/>
      <c r="AU783" s="247"/>
      <c r="AW783" s="116"/>
      <c r="AY783" s="2" t="e">
        <f>CONCATENATE("_", SUBSTITUTE(SUBSTITUTE(SUBSTITUTE(#REF!," ","_"),"(",""),")",""))</f>
        <v>#REF!</v>
      </c>
    </row>
    <row r="784" spans="39:51" ht="24" customHeight="1">
      <c r="AM784" s="247"/>
      <c r="AN784" s="247"/>
      <c r="AO784" s="247"/>
      <c r="AP784" s="247"/>
      <c r="AQ784" s="247"/>
      <c r="AR784" s="247"/>
      <c r="AS784" s="247"/>
      <c r="AT784" s="247"/>
      <c r="AU784" s="247"/>
      <c r="AW784" s="116"/>
    </row>
    <row r="785" spans="39:51" ht="13.5" customHeight="1">
      <c r="AM785" s="247"/>
      <c r="AN785" s="247"/>
      <c r="AO785" s="247"/>
      <c r="AP785" s="247"/>
      <c r="AQ785" s="247"/>
      <c r="AR785" s="247"/>
      <c r="AS785" s="247"/>
      <c r="AT785" s="247"/>
      <c r="AU785" s="247"/>
      <c r="AW785" s="116"/>
      <c r="AY785" s="2" t="e">
        <f>CONCATENATE("_", SUBSTITUTE(SUBSTITUTE(SUBSTITUTE(#REF!," ","_"),"(",""),")",""))</f>
        <v>#REF!</v>
      </c>
    </row>
    <row r="786" spans="39:51" ht="24" customHeight="1">
      <c r="AM786" s="247"/>
      <c r="AN786" s="247"/>
      <c r="AO786" s="247"/>
      <c r="AP786" s="247"/>
      <c r="AQ786" s="247"/>
      <c r="AR786" s="247"/>
      <c r="AS786" s="247"/>
      <c r="AT786" s="247"/>
      <c r="AU786" s="247"/>
      <c r="AW786" s="116"/>
    </row>
    <row r="787" spans="39:51" ht="13.5" customHeight="1">
      <c r="AM787" s="247"/>
      <c r="AN787" s="247"/>
      <c r="AO787" s="247"/>
      <c r="AP787" s="247"/>
      <c r="AQ787" s="247"/>
      <c r="AR787" s="247"/>
      <c r="AS787" s="247"/>
      <c r="AT787" s="247"/>
      <c r="AU787" s="247"/>
      <c r="AW787" s="116"/>
      <c r="AY787" s="2" t="e">
        <f>CONCATENATE("_", SUBSTITUTE(SUBSTITUTE(SUBSTITUTE(#REF!," ","_"),"(",""),")",""))</f>
        <v>#REF!</v>
      </c>
    </row>
    <row r="788" spans="39:51" ht="24" customHeight="1">
      <c r="AM788" s="247"/>
      <c r="AN788" s="247"/>
      <c r="AO788" s="247"/>
      <c r="AP788" s="247"/>
      <c r="AQ788" s="247"/>
      <c r="AR788" s="247"/>
      <c r="AS788" s="247"/>
      <c r="AT788" s="247"/>
      <c r="AU788" s="247"/>
      <c r="AW788" s="116"/>
    </row>
    <row r="789" spans="39:51" ht="13.5" customHeight="1">
      <c r="AM789" s="247"/>
      <c r="AN789" s="247"/>
      <c r="AO789" s="247"/>
      <c r="AP789" s="247"/>
      <c r="AQ789" s="247"/>
      <c r="AR789" s="247"/>
      <c r="AS789" s="247"/>
      <c r="AT789" s="247"/>
      <c r="AU789" s="247"/>
      <c r="AW789" s="116"/>
      <c r="AY789" s="2" t="str">
        <f>CONCATENATE("_", SUBSTITUTE(SUBSTITUTE(SUBSTITUTE($E65," ","_"),"(",""),")",""))</f>
        <v>_IADC_CODE</v>
      </c>
    </row>
    <row r="790" spans="39:51" ht="24" customHeight="1">
      <c r="AM790" s="247"/>
      <c r="AN790" s="247"/>
      <c r="AO790" s="247"/>
      <c r="AP790" s="247"/>
      <c r="AQ790" s="247"/>
      <c r="AR790" s="247"/>
      <c r="AS790" s="247"/>
      <c r="AT790" s="247"/>
      <c r="AU790" s="247"/>
      <c r="AW790" s="116"/>
    </row>
    <row r="791" spans="39:51" ht="13.5" customHeight="1">
      <c r="AM791" s="247"/>
      <c r="AN791" s="247"/>
      <c r="AO791" s="247"/>
      <c r="AP791" s="247"/>
      <c r="AQ791" s="247"/>
      <c r="AR791" s="247"/>
      <c r="AS791" s="247"/>
      <c r="AT791" s="247"/>
      <c r="AU791" s="247"/>
      <c r="AW791" s="116"/>
      <c r="AY791" s="2" t="str">
        <f>CONCATENATE("_", SUBSTITUTE(SUBSTITUTE(SUBSTITUTE($E67," ","_"),"(",""),")",""))</f>
        <v>_</v>
      </c>
    </row>
    <row r="792" spans="39:51" ht="24" customHeight="1">
      <c r="AM792" s="247"/>
      <c r="AN792" s="247"/>
      <c r="AO792" s="247"/>
      <c r="AP792" s="247"/>
      <c r="AQ792" s="247"/>
      <c r="AR792" s="247"/>
      <c r="AS792" s="247"/>
      <c r="AT792" s="247"/>
      <c r="AU792" s="247"/>
      <c r="AW792" s="116"/>
    </row>
    <row r="793" spans="39:51" ht="13.5" customHeight="1">
      <c r="AM793" s="247"/>
      <c r="AN793" s="247"/>
      <c r="AO793" s="247"/>
      <c r="AP793" s="247"/>
      <c r="AQ793" s="247"/>
      <c r="AR793" s="247"/>
      <c r="AS793" s="247"/>
      <c r="AT793" s="247"/>
      <c r="AU793" s="247"/>
      <c r="AW793" s="116"/>
      <c r="AY793" s="2" t="str">
        <f>CONCATENATE("_", SUBSTITUTE(SUBSTITUTE(SUBSTITUTE($E69," ","_"),"(",""),")",""))</f>
        <v>_</v>
      </c>
    </row>
    <row r="794" spans="39:51" ht="24" customHeight="1">
      <c r="AM794" s="247"/>
      <c r="AN794" s="247"/>
      <c r="AO794" s="247"/>
      <c r="AP794" s="247"/>
      <c r="AQ794" s="247"/>
      <c r="AR794" s="247"/>
      <c r="AS794" s="247"/>
      <c r="AT794" s="247"/>
      <c r="AU794" s="247"/>
      <c r="AW794" s="116"/>
    </row>
    <row r="795" spans="39:51" ht="13.5" customHeight="1">
      <c r="AM795" s="247"/>
      <c r="AN795" s="247"/>
      <c r="AO795" s="247"/>
      <c r="AP795" s="247"/>
      <c r="AQ795" s="247"/>
      <c r="AR795" s="247"/>
      <c r="AS795" s="247"/>
      <c r="AT795" s="247"/>
      <c r="AU795" s="247"/>
      <c r="AW795" s="116"/>
      <c r="AY795" s="2" t="str">
        <f>CONCATENATE("_", SUBSTITUTE(SUBSTITUTE(SUBSTITUTE($E71," ","_"),"(",""),")",""))</f>
        <v>_</v>
      </c>
    </row>
    <row r="796" spans="39:51" ht="24" customHeight="1">
      <c r="AM796" s="247"/>
      <c r="AN796" s="247"/>
      <c r="AO796" s="247"/>
      <c r="AP796" s="247"/>
      <c r="AQ796" s="247"/>
      <c r="AR796" s="247"/>
      <c r="AS796" s="247"/>
      <c r="AT796" s="247"/>
      <c r="AU796" s="247"/>
      <c r="AW796" s="116"/>
    </row>
    <row r="797" spans="39:51" ht="13.5" customHeight="1">
      <c r="AM797" s="247"/>
      <c r="AN797" s="247"/>
      <c r="AO797" s="247"/>
      <c r="AP797" s="247"/>
      <c r="AQ797" s="247"/>
      <c r="AR797" s="247"/>
      <c r="AS797" s="247"/>
      <c r="AT797" s="247"/>
      <c r="AU797" s="247"/>
      <c r="AW797" s="116"/>
      <c r="AY797" s="2" t="str">
        <f>CONCATENATE("_", SUBSTITUTE(SUBSTITUTE(SUBSTITUTE($E73," ","_"),"(",""),")",""))</f>
        <v>_</v>
      </c>
    </row>
    <row r="798" spans="39:51" ht="24" customHeight="1">
      <c r="AM798" s="247"/>
      <c r="AN798" s="247"/>
      <c r="AO798" s="247"/>
      <c r="AP798" s="247"/>
      <c r="AQ798" s="247"/>
      <c r="AR798" s="247"/>
      <c r="AS798" s="247"/>
      <c r="AT798" s="247"/>
      <c r="AU798" s="247"/>
      <c r="AW798" s="116"/>
    </row>
    <row r="799" spans="39:51" ht="13.5" customHeight="1">
      <c r="AM799" s="247"/>
      <c r="AN799" s="247"/>
      <c r="AO799" s="247"/>
      <c r="AP799" s="247"/>
      <c r="AQ799" s="247"/>
      <c r="AR799" s="247"/>
      <c r="AS799" s="247"/>
      <c r="AT799" s="247"/>
      <c r="AU799" s="247"/>
      <c r="AW799" s="116"/>
      <c r="AY799" s="2" t="str">
        <f>CONCATENATE("_", SUBSTITUTE(SUBSTITUTE(SUBSTITUTE($E75," ","_"),"(",""),")",""))</f>
        <v>_</v>
      </c>
    </row>
    <row r="800" spans="39:51" ht="24" customHeight="1">
      <c r="AM800" s="247"/>
      <c r="AN800" s="247"/>
      <c r="AO800" s="247"/>
      <c r="AP800" s="247"/>
      <c r="AQ800" s="247"/>
      <c r="AR800" s="247"/>
      <c r="AS800" s="247"/>
      <c r="AT800" s="247"/>
      <c r="AU800" s="247"/>
      <c r="AW800" s="116"/>
    </row>
    <row r="801" spans="39:49" ht="13.5" customHeight="1">
      <c r="AM801" s="247"/>
      <c r="AN801" s="247"/>
      <c r="AO801" s="247"/>
      <c r="AP801" s="247"/>
      <c r="AQ801" s="247"/>
      <c r="AR801" s="247"/>
      <c r="AS801" s="247"/>
      <c r="AT801" s="247"/>
      <c r="AU801" s="247"/>
      <c r="AW801" s="116"/>
    </row>
    <row r="802" spans="39:49" ht="24" customHeight="1">
      <c r="AM802" s="247"/>
      <c r="AN802" s="247"/>
      <c r="AO802" s="247"/>
      <c r="AP802" s="247"/>
      <c r="AQ802" s="247"/>
      <c r="AR802" s="247"/>
      <c r="AS802" s="247"/>
      <c r="AT802" s="247"/>
      <c r="AU802" s="247"/>
      <c r="AW802" s="116"/>
    </row>
    <row r="803" spans="39:49" ht="13.5" customHeight="1">
      <c r="AM803" s="247"/>
      <c r="AN803" s="247"/>
      <c r="AO803" s="247"/>
      <c r="AP803" s="247"/>
      <c r="AQ803" s="247"/>
      <c r="AR803" s="247"/>
      <c r="AS803" s="247"/>
      <c r="AT803" s="247"/>
      <c r="AU803" s="247"/>
      <c r="AW803" s="116"/>
    </row>
    <row r="804" spans="39:49" ht="24" customHeight="1">
      <c r="AM804" s="247"/>
      <c r="AN804" s="247"/>
      <c r="AO804" s="247"/>
      <c r="AP804" s="247"/>
      <c r="AQ804" s="247"/>
      <c r="AR804" s="247"/>
      <c r="AS804" s="247"/>
      <c r="AT804" s="247"/>
      <c r="AU804" s="247"/>
      <c r="AW804" s="116"/>
    </row>
    <row r="805" spans="39:49" ht="13.5" customHeight="1">
      <c r="AM805" s="247"/>
      <c r="AN805" s="247"/>
      <c r="AO805" s="247"/>
      <c r="AP805" s="247"/>
      <c r="AQ805" s="247"/>
      <c r="AR805" s="247"/>
      <c r="AS805" s="247"/>
      <c r="AT805" s="247"/>
      <c r="AU805" s="247"/>
      <c r="AW805" s="116"/>
    </row>
    <row r="806" spans="39:49" ht="24" customHeight="1">
      <c r="AM806" s="247"/>
      <c r="AN806" s="247"/>
      <c r="AO806" s="247"/>
      <c r="AP806" s="247"/>
      <c r="AQ806" s="247"/>
      <c r="AR806" s="247"/>
      <c r="AS806" s="247"/>
      <c r="AT806" s="247"/>
      <c r="AU806" s="247"/>
      <c r="AW806" s="116"/>
    </row>
    <row r="807" spans="39:49" ht="13.5" customHeight="1">
      <c r="AM807" s="247"/>
      <c r="AN807" s="247"/>
      <c r="AO807" s="247"/>
      <c r="AP807" s="247"/>
      <c r="AQ807" s="247"/>
      <c r="AR807" s="247"/>
      <c r="AS807" s="247"/>
      <c r="AT807" s="247"/>
      <c r="AU807" s="247"/>
      <c r="AW807" s="116"/>
    </row>
    <row r="808" spans="39:49" ht="24" customHeight="1">
      <c r="AM808" s="247"/>
      <c r="AN808" s="247"/>
      <c r="AO808" s="247"/>
      <c r="AP808" s="247"/>
      <c r="AQ808" s="247"/>
      <c r="AR808" s="247"/>
      <c r="AS808" s="247"/>
      <c r="AT808" s="247"/>
      <c r="AU808" s="247"/>
      <c r="AW808" s="116"/>
    </row>
    <row r="809" spans="39:49" ht="13.5" customHeight="1">
      <c r="AM809" s="247"/>
      <c r="AN809" s="247"/>
      <c r="AO809" s="247"/>
      <c r="AP809" s="247"/>
      <c r="AQ809" s="247"/>
      <c r="AR809" s="247"/>
      <c r="AS809" s="247"/>
      <c r="AT809" s="247"/>
      <c r="AU809" s="247"/>
      <c r="AW809" s="116"/>
    </row>
    <row r="810" spans="39:49" ht="24" customHeight="1">
      <c r="AM810" s="247"/>
      <c r="AN810" s="247"/>
      <c r="AO810" s="247"/>
      <c r="AP810" s="247"/>
      <c r="AQ810" s="247"/>
      <c r="AR810" s="247"/>
      <c r="AS810" s="247"/>
      <c r="AT810" s="247"/>
      <c r="AU810" s="247"/>
      <c r="AW810" s="116"/>
    </row>
    <row r="811" spans="39:49" ht="13.5" customHeight="1">
      <c r="AM811" s="247"/>
      <c r="AN811" s="247"/>
      <c r="AO811" s="247"/>
      <c r="AP811" s="247"/>
      <c r="AQ811" s="247"/>
      <c r="AR811" s="247"/>
      <c r="AS811" s="247"/>
      <c r="AT811" s="247"/>
      <c r="AU811" s="247"/>
      <c r="AW811" s="116"/>
    </row>
    <row r="812" spans="39:49" ht="24" customHeight="1">
      <c r="AM812" s="247"/>
      <c r="AN812" s="247"/>
      <c r="AO812" s="247"/>
      <c r="AP812" s="247"/>
      <c r="AQ812" s="247"/>
      <c r="AR812" s="247"/>
      <c r="AS812" s="247"/>
      <c r="AT812" s="247"/>
      <c r="AU812" s="247"/>
      <c r="AW812" s="116"/>
    </row>
    <row r="813" spans="39:49" ht="13.5" customHeight="1">
      <c r="AM813" s="247"/>
      <c r="AN813" s="247"/>
      <c r="AO813" s="247"/>
      <c r="AP813" s="247"/>
      <c r="AQ813" s="247"/>
      <c r="AR813" s="247"/>
      <c r="AS813" s="247"/>
      <c r="AT813" s="247"/>
      <c r="AU813" s="247"/>
      <c r="AW813" s="116"/>
    </row>
    <row r="814" spans="39:49" ht="24" customHeight="1">
      <c r="AM814" s="247"/>
      <c r="AN814" s="247"/>
      <c r="AO814" s="247"/>
      <c r="AP814" s="247"/>
      <c r="AQ814" s="247"/>
      <c r="AR814" s="247"/>
      <c r="AS814" s="247"/>
      <c r="AT814" s="247"/>
      <c r="AU814" s="247"/>
      <c r="AW814" s="116"/>
    </row>
    <row r="815" spans="39:49" ht="13.5" customHeight="1">
      <c r="AM815" s="247"/>
      <c r="AN815" s="247"/>
      <c r="AO815" s="247"/>
      <c r="AP815" s="247"/>
      <c r="AQ815" s="247"/>
      <c r="AR815" s="247"/>
      <c r="AS815" s="247"/>
      <c r="AT815" s="247"/>
      <c r="AU815" s="247"/>
      <c r="AW815" s="116"/>
    </row>
    <row r="816" spans="39:49" ht="24" customHeight="1">
      <c r="AM816" s="247"/>
      <c r="AN816" s="247"/>
      <c r="AO816" s="247"/>
      <c r="AP816" s="247"/>
      <c r="AQ816" s="247"/>
      <c r="AR816" s="247"/>
      <c r="AS816" s="247"/>
      <c r="AT816" s="247"/>
      <c r="AU816" s="247"/>
      <c r="AW816" s="116"/>
    </row>
    <row r="817" spans="39:49" ht="13.5" customHeight="1">
      <c r="AM817" s="247"/>
      <c r="AN817" s="247"/>
      <c r="AO817" s="247"/>
      <c r="AP817" s="247"/>
      <c r="AQ817" s="247"/>
      <c r="AR817" s="247"/>
      <c r="AS817" s="247"/>
      <c r="AT817" s="247"/>
      <c r="AU817" s="247"/>
      <c r="AW817" s="116"/>
    </row>
    <row r="818" spans="39:49" ht="24" customHeight="1">
      <c r="AM818" s="247"/>
      <c r="AN818" s="247"/>
      <c r="AO818" s="247"/>
      <c r="AP818" s="247"/>
      <c r="AQ818" s="247"/>
      <c r="AR818" s="247"/>
      <c r="AS818" s="247"/>
      <c r="AT818" s="247"/>
      <c r="AU818" s="247"/>
      <c r="AW818" s="116"/>
    </row>
    <row r="819" spans="39:49" ht="13.5" customHeight="1">
      <c r="AM819" s="247"/>
      <c r="AN819" s="247"/>
      <c r="AO819" s="247"/>
      <c r="AP819" s="247"/>
      <c r="AQ819" s="247"/>
      <c r="AR819" s="247"/>
      <c r="AS819" s="247"/>
      <c r="AT819" s="247"/>
      <c r="AU819" s="247"/>
      <c r="AW819" s="116"/>
    </row>
    <row r="820" spans="39:49" ht="24" customHeight="1">
      <c r="AM820" s="247"/>
      <c r="AN820" s="247"/>
      <c r="AO820" s="247"/>
      <c r="AP820" s="247"/>
      <c r="AQ820" s="247"/>
      <c r="AR820" s="247"/>
      <c r="AS820" s="247"/>
      <c r="AT820" s="247"/>
      <c r="AU820" s="247"/>
      <c r="AW820" s="116"/>
    </row>
    <row r="821" spans="39:49" ht="13.5" customHeight="1">
      <c r="AM821" s="247"/>
      <c r="AN821" s="247"/>
      <c r="AO821" s="247"/>
      <c r="AP821" s="247"/>
      <c r="AQ821" s="247"/>
      <c r="AR821" s="247"/>
      <c r="AS821" s="247"/>
      <c r="AT821" s="247"/>
      <c r="AU821" s="247"/>
      <c r="AW821" s="116"/>
    </row>
    <row r="822" spans="39:49" ht="24" customHeight="1">
      <c r="AM822" s="247"/>
      <c r="AN822" s="247"/>
      <c r="AO822" s="247"/>
      <c r="AP822" s="247"/>
      <c r="AQ822" s="247"/>
      <c r="AR822" s="247"/>
      <c r="AS822" s="247"/>
      <c r="AT822" s="247"/>
      <c r="AU822" s="247"/>
      <c r="AW822" s="116"/>
    </row>
    <row r="823" spans="39:49" ht="13.5" customHeight="1">
      <c r="AM823" s="247"/>
      <c r="AN823" s="247"/>
      <c r="AO823" s="247"/>
      <c r="AP823" s="247"/>
      <c r="AQ823" s="247"/>
      <c r="AR823" s="247"/>
      <c r="AS823" s="247"/>
      <c r="AT823" s="247"/>
      <c r="AU823" s="247"/>
      <c r="AW823" s="116"/>
    </row>
    <row r="824" spans="39:49" ht="24" customHeight="1">
      <c r="AM824" s="247"/>
      <c r="AN824" s="247"/>
      <c r="AO824" s="247"/>
      <c r="AP824" s="247"/>
      <c r="AQ824" s="247"/>
      <c r="AR824" s="247"/>
      <c r="AS824" s="247"/>
      <c r="AT824" s="247"/>
      <c r="AU824" s="247"/>
      <c r="AW824" s="116"/>
    </row>
    <row r="825" spans="39:49" ht="13.5" customHeight="1">
      <c r="AM825" s="247"/>
      <c r="AN825" s="247"/>
      <c r="AO825" s="247"/>
      <c r="AP825" s="247"/>
      <c r="AQ825" s="247"/>
      <c r="AR825" s="247"/>
      <c r="AS825" s="247"/>
      <c r="AT825" s="247"/>
      <c r="AU825" s="247"/>
      <c r="AW825" s="116"/>
    </row>
    <row r="826" spans="39:49" ht="24" customHeight="1">
      <c r="AM826" s="247"/>
      <c r="AN826" s="247"/>
      <c r="AO826" s="247"/>
      <c r="AP826" s="247"/>
      <c r="AQ826" s="247"/>
      <c r="AR826" s="247"/>
      <c r="AS826" s="247"/>
      <c r="AT826" s="247"/>
      <c r="AU826" s="247"/>
      <c r="AW826" s="116"/>
    </row>
    <row r="827" spans="39:49" ht="13.5" customHeight="1">
      <c r="AM827" s="247"/>
      <c r="AN827" s="247"/>
      <c r="AO827" s="247"/>
      <c r="AP827" s="247"/>
      <c r="AQ827" s="247"/>
      <c r="AR827" s="247"/>
      <c r="AS827" s="247"/>
      <c r="AT827" s="247"/>
      <c r="AU827" s="247"/>
      <c r="AW827" s="116"/>
    </row>
    <row r="828" spans="39:49" ht="24" customHeight="1">
      <c r="AM828" s="247"/>
      <c r="AN828" s="247"/>
      <c r="AO828" s="247"/>
      <c r="AP828" s="247"/>
      <c r="AQ828" s="247"/>
      <c r="AR828" s="247"/>
      <c r="AS828" s="247"/>
      <c r="AT828" s="247"/>
      <c r="AU828" s="247"/>
      <c r="AW828" s="116"/>
    </row>
    <row r="829" spans="39:49" ht="13.5" customHeight="1">
      <c r="AM829" s="247"/>
      <c r="AN829" s="247"/>
      <c r="AO829" s="247"/>
      <c r="AP829" s="247"/>
      <c r="AQ829" s="247"/>
      <c r="AR829" s="247"/>
      <c r="AS829" s="247"/>
      <c r="AT829" s="247"/>
      <c r="AU829" s="247"/>
      <c r="AW829" s="116"/>
    </row>
    <row r="830" spans="39:49" ht="24" customHeight="1">
      <c r="AM830" s="247"/>
      <c r="AN830" s="247"/>
      <c r="AO830" s="247"/>
      <c r="AP830" s="247"/>
      <c r="AQ830" s="247"/>
      <c r="AR830" s="247"/>
      <c r="AS830" s="247"/>
      <c r="AT830" s="247"/>
      <c r="AU830" s="247"/>
      <c r="AW830" s="116"/>
    </row>
    <row r="831" spans="39:49" ht="13.5" customHeight="1">
      <c r="AM831" s="247"/>
      <c r="AN831" s="247"/>
      <c r="AO831" s="247"/>
      <c r="AP831" s="247"/>
      <c r="AQ831" s="247"/>
      <c r="AR831" s="247"/>
      <c r="AS831" s="247"/>
      <c r="AT831" s="247"/>
      <c r="AU831" s="247"/>
      <c r="AW831" s="116"/>
    </row>
    <row r="832" spans="39:49" ht="24" customHeight="1">
      <c r="AM832" s="247"/>
      <c r="AN832" s="247"/>
      <c r="AO832" s="247"/>
      <c r="AP832" s="247"/>
      <c r="AQ832" s="247"/>
      <c r="AR832" s="247"/>
      <c r="AS832" s="247"/>
      <c r="AT832" s="247"/>
      <c r="AU832" s="247"/>
      <c r="AW832" s="116"/>
    </row>
    <row r="833" spans="39:49" ht="13.5" customHeight="1">
      <c r="AM833" s="247"/>
      <c r="AN833" s="247"/>
      <c r="AO833" s="247"/>
      <c r="AP833" s="247"/>
      <c r="AQ833" s="247"/>
      <c r="AR833" s="247"/>
      <c r="AS833" s="247"/>
      <c r="AT833" s="247"/>
      <c r="AU833" s="247"/>
      <c r="AW833" s="116"/>
    </row>
    <row r="834" spans="39:49" ht="24" customHeight="1">
      <c r="AM834" s="247"/>
      <c r="AN834" s="247"/>
      <c r="AO834" s="247"/>
      <c r="AP834" s="247"/>
      <c r="AQ834" s="247"/>
      <c r="AR834" s="247"/>
      <c r="AS834" s="247"/>
      <c r="AT834" s="247"/>
      <c r="AU834" s="247"/>
      <c r="AW834" s="116"/>
    </row>
    <row r="835" spans="39:49" ht="13.5" customHeight="1">
      <c r="AM835" s="247"/>
      <c r="AN835" s="247"/>
      <c r="AO835" s="247"/>
      <c r="AP835" s="247"/>
      <c r="AQ835" s="247"/>
      <c r="AR835" s="247"/>
      <c r="AS835" s="247"/>
      <c r="AT835" s="247"/>
      <c r="AU835" s="247"/>
      <c r="AW835" s="116"/>
    </row>
    <row r="836" spans="39:49" ht="24" customHeight="1">
      <c r="AM836" s="247"/>
      <c r="AN836" s="247"/>
      <c r="AO836" s="247"/>
      <c r="AP836" s="247"/>
      <c r="AQ836" s="247"/>
      <c r="AR836" s="247"/>
      <c r="AS836" s="247"/>
      <c r="AT836" s="247"/>
      <c r="AU836" s="247"/>
      <c r="AW836" s="116"/>
    </row>
    <row r="837" spans="39:49" ht="13.5" customHeight="1">
      <c r="AM837" s="247"/>
      <c r="AN837" s="247"/>
      <c r="AO837" s="247"/>
      <c r="AP837" s="247"/>
      <c r="AQ837" s="247"/>
      <c r="AR837" s="247"/>
      <c r="AS837" s="247"/>
      <c r="AT837" s="247"/>
      <c r="AU837" s="247"/>
      <c r="AW837" s="116"/>
    </row>
    <row r="838" spans="39:49" ht="24" customHeight="1">
      <c r="AM838" s="247"/>
      <c r="AN838" s="247"/>
      <c r="AO838" s="247"/>
      <c r="AP838" s="247"/>
      <c r="AQ838" s="247"/>
      <c r="AR838" s="247"/>
      <c r="AS838" s="247"/>
      <c r="AT838" s="247"/>
      <c r="AU838" s="247"/>
      <c r="AW838" s="116"/>
    </row>
    <row r="839" spans="39:49" ht="13.5" customHeight="1">
      <c r="AM839" s="247"/>
      <c r="AN839" s="247"/>
      <c r="AO839" s="247"/>
      <c r="AP839" s="247"/>
      <c r="AQ839" s="247"/>
      <c r="AR839" s="247"/>
      <c r="AS839" s="247"/>
      <c r="AT839" s="247"/>
      <c r="AU839" s="247"/>
      <c r="AW839" s="116"/>
    </row>
    <row r="840" spans="39:49" ht="24" customHeight="1">
      <c r="AM840" s="247"/>
      <c r="AN840" s="247"/>
      <c r="AO840" s="247"/>
      <c r="AP840" s="247"/>
      <c r="AQ840" s="247"/>
      <c r="AR840" s="247"/>
      <c r="AS840" s="247"/>
      <c r="AT840" s="247"/>
      <c r="AU840" s="247"/>
      <c r="AW840" s="116"/>
    </row>
    <row r="841" spans="39:49" ht="13.5" customHeight="1">
      <c r="AM841" s="247"/>
      <c r="AN841" s="247"/>
      <c r="AO841" s="247"/>
      <c r="AP841" s="247"/>
      <c r="AQ841" s="247"/>
      <c r="AR841" s="247"/>
      <c r="AS841" s="247"/>
      <c r="AT841" s="247"/>
      <c r="AU841" s="247"/>
      <c r="AW841" s="116"/>
    </row>
    <row r="842" spans="39:49" ht="24" customHeight="1">
      <c r="AM842" s="247"/>
      <c r="AN842" s="247"/>
      <c r="AO842" s="247"/>
      <c r="AP842" s="247"/>
      <c r="AQ842" s="247"/>
      <c r="AR842" s="247"/>
      <c r="AS842" s="247"/>
      <c r="AT842" s="247"/>
      <c r="AU842" s="247"/>
      <c r="AW842" s="116"/>
    </row>
    <row r="843" spans="39:49" ht="13.5" customHeight="1">
      <c r="AM843" s="247"/>
      <c r="AN843" s="247"/>
      <c r="AO843" s="247"/>
      <c r="AP843" s="247"/>
      <c r="AQ843" s="247"/>
      <c r="AR843" s="247"/>
      <c r="AS843" s="247"/>
      <c r="AT843" s="247"/>
      <c r="AU843" s="247"/>
      <c r="AW843" s="116"/>
    </row>
    <row r="844" spans="39:49" ht="24" customHeight="1">
      <c r="AM844" s="247"/>
      <c r="AN844" s="247"/>
      <c r="AO844" s="247"/>
      <c r="AP844" s="247"/>
      <c r="AQ844" s="247"/>
      <c r="AR844" s="247"/>
      <c r="AS844" s="247"/>
      <c r="AT844" s="247"/>
      <c r="AU844" s="247"/>
      <c r="AW844" s="116"/>
    </row>
    <row r="845" spans="39:49" ht="13.5" customHeight="1">
      <c r="AM845" s="247"/>
      <c r="AN845" s="247"/>
      <c r="AO845" s="247"/>
      <c r="AP845" s="247"/>
      <c r="AQ845" s="247"/>
      <c r="AR845" s="247"/>
      <c r="AS845" s="247"/>
      <c r="AT845" s="247"/>
      <c r="AU845" s="247"/>
      <c r="AW845" s="116"/>
    </row>
    <row r="846" spans="39:49" ht="24" customHeight="1">
      <c r="AM846" s="247"/>
      <c r="AN846" s="247"/>
      <c r="AO846" s="247"/>
      <c r="AP846" s="247"/>
      <c r="AQ846" s="247"/>
      <c r="AR846" s="247"/>
      <c r="AS846" s="247"/>
      <c r="AT846" s="247"/>
      <c r="AU846" s="247"/>
      <c r="AW846" s="116"/>
    </row>
    <row r="847" spans="39:49" ht="13.5" customHeight="1">
      <c r="AM847" s="247"/>
      <c r="AN847" s="247"/>
      <c r="AO847" s="247"/>
      <c r="AP847" s="247"/>
      <c r="AQ847" s="247"/>
      <c r="AR847" s="247"/>
      <c r="AS847" s="247"/>
      <c r="AT847" s="247"/>
      <c r="AU847" s="247"/>
      <c r="AW847" s="116"/>
    </row>
    <row r="848" spans="39:49" ht="24" customHeight="1">
      <c r="AM848" s="247"/>
      <c r="AN848" s="247"/>
      <c r="AO848" s="247"/>
      <c r="AP848" s="247"/>
      <c r="AQ848" s="247"/>
      <c r="AR848" s="247"/>
      <c r="AS848" s="247"/>
      <c r="AT848" s="247"/>
      <c r="AU848" s="247"/>
      <c r="AW848" s="116"/>
    </row>
    <row r="849" spans="39:49" ht="13.5" customHeight="1">
      <c r="AM849" s="247"/>
      <c r="AN849" s="247"/>
      <c r="AO849" s="247"/>
      <c r="AP849" s="247"/>
      <c r="AQ849" s="247"/>
      <c r="AR849" s="247"/>
      <c r="AS849" s="247"/>
      <c r="AT849" s="247"/>
      <c r="AU849" s="247"/>
      <c r="AW849" s="116"/>
    </row>
    <row r="850" spans="39:49" ht="24" customHeight="1">
      <c r="AM850" s="247"/>
      <c r="AN850" s="247"/>
      <c r="AO850" s="247"/>
      <c r="AP850" s="247"/>
      <c r="AQ850" s="247"/>
      <c r="AR850" s="247"/>
      <c r="AS850" s="247"/>
      <c r="AT850" s="247"/>
      <c r="AU850" s="247"/>
      <c r="AW850" s="116"/>
    </row>
    <row r="851" spans="39:49" ht="13.5" customHeight="1">
      <c r="AM851" s="247"/>
      <c r="AN851" s="247"/>
      <c r="AO851" s="247"/>
      <c r="AP851" s="247"/>
      <c r="AQ851" s="247"/>
      <c r="AR851" s="247"/>
      <c r="AS851" s="247"/>
      <c r="AT851" s="247"/>
      <c r="AU851" s="247"/>
      <c r="AW851" s="116"/>
    </row>
    <row r="852" spans="39:49" ht="24" customHeight="1">
      <c r="AM852" s="247"/>
      <c r="AN852" s="247"/>
      <c r="AO852" s="247"/>
      <c r="AP852" s="247"/>
      <c r="AQ852" s="247"/>
      <c r="AR852" s="247"/>
      <c r="AS852" s="247"/>
      <c r="AT852" s="247"/>
      <c r="AU852" s="247"/>
      <c r="AW852" s="116"/>
    </row>
    <row r="853" spans="39:49" ht="13.5" customHeight="1">
      <c r="AM853" s="247"/>
      <c r="AN853" s="247"/>
      <c r="AO853" s="247"/>
      <c r="AP853" s="247"/>
      <c r="AQ853" s="247"/>
      <c r="AR853" s="247"/>
      <c r="AS853" s="247"/>
      <c r="AT853" s="247"/>
      <c r="AU853" s="247"/>
      <c r="AW853" s="116"/>
    </row>
    <row r="854" spans="39:49" ht="24" customHeight="1">
      <c r="AM854" s="247"/>
      <c r="AN854" s="247"/>
      <c r="AO854" s="247"/>
      <c r="AP854" s="247"/>
      <c r="AQ854" s="247"/>
      <c r="AR854" s="247"/>
      <c r="AS854" s="247"/>
      <c r="AT854" s="247"/>
      <c r="AU854" s="247"/>
      <c r="AW854" s="116"/>
    </row>
    <row r="855" spans="39:49" ht="13.5" customHeight="1">
      <c r="AM855" s="247"/>
      <c r="AN855" s="247"/>
      <c r="AO855" s="247"/>
      <c r="AP855" s="247"/>
      <c r="AQ855" s="247"/>
      <c r="AR855" s="247"/>
      <c r="AS855" s="247"/>
      <c r="AT855" s="247"/>
      <c r="AU855" s="247"/>
      <c r="AW855" s="116"/>
    </row>
    <row r="856" spans="39:49" ht="24" customHeight="1">
      <c r="AM856" s="247"/>
      <c r="AN856" s="247"/>
      <c r="AO856" s="247"/>
      <c r="AP856" s="247"/>
      <c r="AQ856" s="247"/>
      <c r="AR856" s="247"/>
      <c r="AS856" s="247"/>
      <c r="AT856" s="247"/>
      <c r="AU856" s="247"/>
      <c r="AW856" s="116"/>
    </row>
    <row r="857" spans="39:49" ht="13.5" customHeight="1">
      <c r="AM857" s="247"/>
      <c r="AN857" s="247"/>
      <c r="AO857" s="247"/>
      <c r="AP857" s="247"/>
      <c r="AQ857" s="247"/>
      <c r="AR857" s="247"/>
      <c r="AS857" s="247"/>
      <c r="AT857" s="247"/>
      <c r="AU857" s="247"/>
      <c r="AW857" s="116"/>
    </row>
    <row r="858" spans="39:49" ht="24" customHeight="1">
      <c r="AM858" s="247"/>
      <c r="AN858" s="247"/>
      <c r="AO858" s="247"/>
      <c r="AP858" s="247"/>
      <c r="AQ858" s="247"/>
      <c r="AR858" s="247"/>
      <c r="AS858" s="247"/>
      <c r="AT858" s="247"/>
      <c r="AU858" s="247"/>
      <c r="AW858" s="116"/>
    </row>
    <row r="859" spans="39:49" ht="13.5" customHeight="1">
      <c r="AM859" s="247"/>
      <c r="AN859" s="247"/>
      <c r="AO859" s="247"/>
      <c r="AP859" s="247"/>
      <c r="AQ859" s="247"/>
      <c r="AR859" s="247"/>
      <c r="AS859" s="247"/>
      <c r="AT859" s="247"/>
      <c r="AU859" s="247"/>
      <c r="AW859" s="116"/>
    </row>
    <row r="860" spans="39:49" ht="24" customHeight="1">
      <c r="AM860" s="247"/>
      <c r="AN860" s="247"/>
      <c r="AO860" s="247"/>
      <c r="AP860" s="247"/>
      <c r="AQ860" s="247"/>
      <c r="AR860" s="247"/>
      <c r="AS860" s="247"/>
      <c r="AT860" s="247"/>
      <c r="AU860" s="247"/>
      <c r="AW860" s="116"/>
    </row>
    <row r="861" spans="39:49" ht="13.5" customHeight="1">
      <c r="AM861" s="247"/>
      <c r="AN861" s="247"/>
      <c r="AO861" s="247"/>
      <c r="AP861" s="247"/>
      <c r="AQ861" s="247"/>
      <c r="AR861" s="247"/>
      <c r="AS861" s="247"/>
      <c r="AT861" s="247"/>
      <c r="AU861" s="247"/>
      <c r="AW861" s="116"/>
    </row>
    <row r="862" spans="39:49" ht="24" customHeight="1">
      <c r="AM862" s="247"/>
      <c r="AN862" s="247"/>
      <c r="AO862" s="247"/>
      <c r="AP862" s="247"/>
      <c r="AQ862" s="247"/>
      <c r="AR862" s="247"/>
      <c r="AS862" s="247"/>
      <c r="AT862" s="247"/>
      <c r="AU862" s="247"/>
      <c r="AW862" s="116"/>
    </row>
    <row r="863" spans="39:49" ht="13.5" customHeight="1">
      <c r="AM863" s="247"/>
      <c r="AN863" s="247"/>
      <c r="AO863" s="247"/>
      <c r="AP863" s="247"/>
      <c r="AQ863" s="247"/>
      <c r="AR863" s="247"/>
      <c r="AS863" s="247"/>
      <c r="AT863" s="247"/>
      <c r="AU863" s="247"/>
      <c r="AW863" s="116"/>
    </row>
    <row r="864" spans="39:49" ht="24" customHeight="1">
      <c r="AM864" s="247"/>
      <c r="AN864" s="247"/>
      <c r="AO864" s="247"/>
      <c r="AP864" s="247"/>
      <c r="AQ864" s="247"/>
      <c r="AR864" s="247"/>
      <c r="AS864" s="247"/>
      <c r="AT864" s="247"/>
      <c r="AU864" s="247"/>
      <c r="AW864" s="116"/>
    </row>
    <row r="865" spans="39:49" ht="13.5" customHeight="1">
      <c r="AM865" s="247"/>
      <c r="AN865" s="247"/>
      <c r="AO865" s="247"/>
      <c r="AP865" s="247"/>
      <c r="AQ865" s="247"/>
      <c r="AR865" s="247"/>
      <c r="AS865" s="247"/>
      <c r="AT865" s="247"/>
      <c r="AU865" s="247"/>
      <c r="AW865" s="116"/>
    </row>
    <row r="866" spans="39:49" ht="24" customHeight="1">
      <c r="AM866" s="247"/>
      <c r="AN866" s="247"/>
      <c r="AO866" s="247"/>
      <c r="AP866" s="247"/>
      <c r="AQ866" s="247"/>
      <c r="AR866" s="247"/>
      <c r="AS866" s="247"/>
      <c r="AT866" s="247"/>
      <c r="AU866" s="247"/>
      <c r="AW866" s="116"/>
    </row>
    <row r="867" spans="39:49" ht="13.5" customHeight="1">
      <c r="AM867" s="247"/>
      <c r="AN867" s="247"/>
      <c r="AO867" s="247"/>
      <c r="AP867" s="247"/>
      <c r="AQ867" s="247"/>
      <c r="AR867" s="247"/>
      <c r="AS867" s="247"/>
      <c r="AT867" s="247"/>
      <c r="AU867" s="247"/>
      <c r="AW867" s="116"/>
    </row>
    <row r="868" spans="39:49" ht="24" customHeight="1">
      <c r="AM868" s="247"/>
      <c r="AN868" s="247"/>
      <c r="AO868" s="247"/>
      <c r="AP868" s="247"/>
      <c r="AQ868" s="247"/>
      <c r="AR868" s="247"/>
      <c r="AS868" s="247"/>
      <c r="AT868" s="247"/>
      <c r="AU868" s="247"/>
      <c r="AW868" s="116"/>
    </row>
    <row r="869" spans="39:49" ht="13.5" customHeight="1">
      <c r="AM869" s="247"/>
      <c r="AN869" s="247"/>
      <c r="AO869" s="247"/>
      <c r="AP869" s="247"/>
      <c r="AQ869" s="247"/>
      <c r="AR869" s="247"/>
      <c r="AS869" s="247"/>
      <c r="AT869" s="247"/>
      <c r="AU869" s="247"/>
      <c r="AW869" s="116"/>
    </row>
    <row r="870" spans="39:49" ht="24" customHeight="1">
      <c r="AM870" s="247"/>
      <c r="AN870" s="247"/>
      <c r="AO870" s="247"/>
      <c r="AP870" s="247"/>
      <c r="AQ870" s="247"/>
      <c r="AR870" s="247"/>
      <c r="AS870" s="247"/>
      <c r="AT870" s="247"/>
      <c r="AU870" s="247"/>
      <c r="AW870" s="116"/>
    </row>
    <row r="871" spans="39:49" ht="13.5" customHeight="1">
      <c r="AM871" s="247"/>
      <c r="AN871" s="247"/>
      <c r="AO871" s="247"/>
      <c r="AP871" s="247"/>
      <c r="AQ871" s="247"/>
      <c r="AR871" s="247"/>
      <c r="AS871" s="247"/>
      <c r="AT871" s="247"/>
      <c r="AU871" s="247"/>
      <c r="AW871" s="116"/>
    </row>
    <row r="872" spans="39:49" ht="24" customHeight="1">
      <c r="AM872" s="247"/>
      <c r="AN872" s="247"/>
      <c r="AO872" s="247"/>
      <c r="AP872" s="247"/>
      <c r="AQ872" s="247"/>
      <c r="AR872" s="247"/>
      <c r="AS872" s="247"/>
      <c r="AT872" s="247"/>
      <c r="AU872" s="247"/>
      <c r="AW872" s="116"/>
    </row>
    <row r="873" spans="39:49" ht="13.5" customHeight="1">
      <c r="AM873" s="247"/>
      <c r="AN873" s="247"/>
      <c r="AO873" s="247"/>
      <c r="AP873" s="247"/>
      <c r="AQ873" s="247"/>
      <c r="AR873" s="247"/>
      <c r="AS873" s="247"/>
      <c r="AT873" s="247"/>
      <c r="AU873" s="247"/>
      <c r="AW873" s="116"/>
    </row>
    <row r="874" spans="39:49" ht="24" customHeight="1">
      <c r="AM874" s="247"/>
      <c r="AN874" s="247"/>
      <c r="AO874" s="247"/>
      <c r="AP874" s="247"/>
      <c r="AQ874" s="247"/>
      <c r="AR874" s="247"/>
      <c r="AS874" s="247"/>
      <c r="AT874" s="247"/>
      <c r="AU874" s="247"/>
      <c r="AW874" s="116"/>
    </row>
    <row r="875" spans="39:49" ht="13.5" customHeight="1">
      <c r="AM875" s="247"/>
      <c r="AN875" s="247"/>
      <c r="AO875" s="247"/>
      <c r="AP875" s="247"/>
      <c r="AQ875" s="247"/>
      <c r="AR875" s="247"/>
      <c r="AS875" s="247"/>
      <c r="AT875" s="247"/>
      <c r="AU875" s="247"/>
      <c r="AW875" s="116"/>
    </row>
    <row r="876" spans="39:49" ht="24" customHeight="1">
      <c r="AM876" s="247"/>
      <c r="AN876" s="247"/>
      <c r="AO876" s="247"/>
      <c r="AP876" s="247"/>
      <c r="AQ876" s="247"/>
      <c r="AR876" s="247"/>
      <c r="AS876" s="247"/>
      <c r="AT876" s="247"/>
      <c r="AU876" s="247"/>
      <c r="AW876" s="116"/>
    </row>
    <row r="877" spans="39:49" ht="13.5" customHeight="1">
      <c r="AM877" s="247"/>
      <c r="AN877" s="247"/>
      <c r="AO877" s="247"/>
      <c r="AP877" s="247"/>
      <c r="AQ877" s="247"/>
      <c r="AR877" s="247"/>
      <c r="AS877" s="247"/>
      <c r="AT877" s="247"/>
      <c r="AU877" s="247"/>
      <c r="AW877" s="116"/>
    </row>
    <row r="878" spans="39:49" ht="24" customHeight="1">
      <c r="AM878" s="247"/>
      <c r="AN878" s="247"/>
      <c r="AO878" s="247"/>
      <c r="AP878" s="247"/>
      <c r="AQ878" s="247"/>
      <c r="AR878" s="247"/>
      <c r="AS878" s="247"/>
      <c r="AT878" s="247"/>
      <c r="AU878" s="247"/>
      <c r="AW878" s="116"/>
    </row>
    <row r="879" spans="39:49" ht="13.5" customHeight="1">
      <c r="AM879" s="247"/>
      <c r="AN879" s="247"/>
      <c r="AO879" s="247"/>
      <c r="AP879" s="247"/>
      <c r="AQ879" s="247"/>
      <c r="AR879" s="247"/>
      <c r="AS879" s="247"/>
      <c r="AT879" s="247"/>
      <c r="AU879" s="247"/>
      <c r="AW879" s="116"/>
    </row>
    <row r="880" spans="39:49" ht="24" customHeight="1">
      <c r="AM880" s="247"/>
      <c r="AN880" s="247"/>
      <c r="AO880" s="247"/>
      <c r="AP880" s="247"/>
      <c r="AQ880" s="247"/>
      <c r="AR880" s="247"/>
      <c r="AS880" s="247"/>
      <c r="AT880" s="247"/>
      <c r="AU880" s="247"/>
      <c r="AW880" s="116"/>
    </row>
    <row r="881" spans="39:49" ht="13.5" customHeight="1">
      <c r="AM881" s="247"/>
      <c r="AN881" s="247"/>
      <c r="AO881" s="247"/>
      <c r="AP881" s="247"/>
      <c r="AQ881" s="247"/>
      <c r="AR881" s="247"/>
      <c r="AS881" s="247"/>
      <c r="AT881" s="247"/>
      <c r="AU881" s="247"/>
      <c r="AW881" s="116"/>
    </row>
    <row r="882" spans="39:49" ht="24" customHeight="1">
      <c r="AM882" s="247"/>
      <c r="AN882" s="247"/>
      <c r="AO882" s="247"/>
      <c r="AP882" s="247"/>
      <c r="AQ882" s="247"/>
      <c r="AR882" s="247"/>
      <c r="AS882" s="247"/>
      <c r="AT882" s="247"/>
      <c r="AU882" s="247"/>
      <c r="AW882" s="116"/>
    </row>
    <row r="883" spans="39:49" ht="13.5" customHeight="1">
      <c r="AM883" s="247"/>
      <c r="AN883" s="247"/>
      <c r="AO883" s="247"/>
      <c r="AP883" s="247"/>
      <c r="AQ883" s="247"/>
      <c r="AR883" s="247"/>
      <c r="AS883" s="247"/>
      <c r="AT883" s="247"/>
      <c r="AU883" s="247"/>
      <c r="AW883" s="116"/>
    </row>
    <row r="884" spans="39:49" ht="24" customHeight="1">
      <c r="AM884" s="247"/>
      <c r="AN884" s="247"/>
      <c r="AO884" s="247"/>
      <c r="AP884" s="247"/>
      <c r="AQ884" s="247"/>
      <c r="AR884" s="247"/>
      <c r="AS884" s="247"/>
      <c r="AT884" s="247"/>
      <c r="AU884" s="247"/>
      <c r="AW884" s="116"/>
    </row>
    <row r="885" spans="39:49" ht="13.5" customHeight="1">
      <c r="AM885" s="247"/>
      <c r="AN885" s="247"/>
      <c r="AO885" s="247"/>
      <c r="AP885" s="247"/>
      <c r="AQ885" s="247"/>
      <c r="AR885" s="247"/>
      <c r="AS885" s="247"/>
      <c r="AT885" s="247"/>
      <c r="AU885" s="247"/>
      <c r="AW885" s="116"/>
    </row>
    <row r="886" spans="39:49" ht="24" customHeight="1">
      <c r="AM886" s="247"/>
      <c r="AN886" s="247"/>
      <c r="AO886" s="247"/>
      <c r="AP886" s="247"/>
      <c r="AQ886" s="247"/>
      <c r="AR886" s="247"/>
      <c r="AS886" s="247"/>
      <c r="AT886" s="247"/>
      <c r="AU886" s="247"/>
      <c r="AW886" s="116"/>
    </row>
    <row r="887" spans="39:49" ht="13.5" customHeight="1">
      <c r="AM887" s="247"/>
      <c r="AN887" s="247"/>
      <c r="AO887" s="247"/>
      <c r="AP887" s="247"/>
      <c r="AQ887" s="247"/>
      <c r="AR887" s="247"/>
      <c r="AS887" s="247"/>
      <c r="AT887" s="247"/>
      <c r="AU887" s="247"/>
      <c r="AW887" s="116"/>
    </row>
    <row r="888" spans="39:49" ht="24" customHeight="1">
      <c r="AM888" s="247"/>
      <c r="AN888" s="247"/>
      <c r="AO888" s="247"/>
      <c r="AP888" s="247"/>
      <c r="AQ888" s="247"/>
      <c r="AR888" s="247"/>
      <c r="AS888" s="247"/>
      <c r="AT888" s="247"/>
      <c r="AU888" s="247"/>
      <c r="AW888" s="116"/>
    </row>
    <row r="889" spans="39:49" ht="13.5" customHeight="1">
      <c r="AM889" s="247"/>
      <c r="AN889" s="247"/>
      <c r="AO889" s="247"/>
      <c r="AP889" s="247"/>
      <c r="AQ889" s="247"/>
      <c r="AR889" s="247"/>
      <c r="AS889" s="247"/>
      <c r="AT889" s="247"/>
      <c r="AU889" s="247"/>
      <c r="AW889" s="116"/>
    </row>
    <row r="890" spans="39:49" ht="24" customHeight="1">
      <c r="AM890" s="247"/>
      <c r="AN890" s="247"/>
      <c r="AO890" s="247"/>
      <c r="AP890" s="247"/>
      <c r="AQ890" s="247"/>
      <c r="AR890" s="247"/>
      <c r="AS890" s="247"/>
      <c r="AT890" s="247"/>
      <c r="AU890" s="247"/>
      <c r="AW890" s="116"/>
    </row>
    <row r="891" spans="39:49" ht="13.5" customHeight="1">
      <c r="AM891" s="247"/>
      <c r="AN891" s="247"/>
      <c r="AO891" s="247"/>
      <c r="AP891" s="247"/>
      <c r="AQ891" s="247"/>
      <c r="AR891" s="247"/>
      <c r="AS891" s="247"/>
      <c r="AT891" s="247"/>
      <c r="AU891" s="247"/>
      <c r="AW891" s="116"/>
    </row>
    <row r="892" spans="39:49" ht="24" customHeight="1">
      <c r="AM892" s="247"/>
      <c r="AN892" s="247"/>
      <c r="AO892" s="247"/>
      <c r="AP892" s="247"/>
      <c r="AQ892" s="247"/>
      <c r="AR892" s="247"/>
      <c r="AS892" s="247"/>
      <c r="AT892" s="247"/>
      <c r="AU892" s="247"/>
      <c r="AW892" s="116"/>
    </row>
    <row r="893" spans="39:49" ht="13.5" customHeight="1">
      <c r="AM893" s="247"/>
      <c r="AN893" s="247"/>
      <c r="AO893" s="247"/>
      <c r="AP893" s="247"/>
      <c r="AQ893" s="247"/>
      <c r="AR893" s="247"/>
      <c r="AS893" s="247"/>
      <c r="AT893" s="247"/>
      <c r="AU893" s="247"/>
      <c r="AW893" s="116"/>
    </row>
    <row r="894" spans="39:49" ht="24" customHeight="1">
      <c r="AM894" s="247"/>
      <c r="AN894" s="247"/>
      <c r="AO894" s="247"/>
      <c r="AP894" s="247"/>
      <c r="AQ894" s="247"/>
      <c r="AR894" s="247"/>
      <c r="AS894" s="247"/>
      <c r="AT894" s="247"/>
      <c r="AU894" s="247"/>
      <c r="AW894" s="116"/>
    </row>
    <row r="895" spans="39:49" ht="13.5" customHeight="1">
      <c r="AM895" s="247"/>
      <c r="AN895" s="247"/>
      <c r="AO895" s="247"/>
      <c r="AP895" s="247"/>
      <c r="AQ895" s="247"/>
      <c r="AR895" s="247"/>
      <c r="AS895" s="247"/>
      <c r="AT895" s="247"/>
      <c r="AU895" s="247"/>
      <c r="AW895" s="116"/>
    </row>
    <row r="896" spans="39:49" ht="24" customHeight="1">
      <c r="AM896" s="247"/>
      <c r="AN896" s="247"/>
      <c r="AO896" s="247"/>
      <c r="AP896" s="247"/>
      <c r="AQ896" s="247"/>
      <c r="AR896" s="247"/>
      <c r="AS896" s="247"/>
      <c r="AT896" s="247"/>
      <c r="AU896" s="247"/>
      <c r="AW896" s="116"/>
    </row>
    <row r="897" spans="39:49" ht="13.5" customHeight="1">
      <c r="AM897" s="247"/>
      <c r="AN897" s="247"/>
      <c r="AO897" s="247"/>
      <c r="AP897" s="247"/>
      <c r="AQ897" s="247"/>
      <c r="AR897" s="247"/>
      <c r="AS897" s="247"/>
      <c r="AT897" s="247"/>
      <c r="AU897" s="247"/>
      <c r="AW897" s="116"/>
    </row>
    <row r="898" spans="39:49" ht="24" customHeight="1">
      <c r="AM898" s="247"/>
      <c r="AN898" s="247"/>
      <c r="AO898" s="247"/>
      <c r="AP898" s="247"/>
      <c r="AQ898" s="247"/>
      <c r="AR898" s="247"/>
      <c r="AS898" s="247"/>
      <c r="AT898" s="247"/>
      <c r="AU898" s="247"/>
      <c r="AW898" s="116"/>
    </row>
    <row r="899" spans="39:49" ht="13.5" customHeight="1">
      <c r="AM899" s="247"/>
      <c r="AN899" s="247"/>
      <c r="AO899" s="247"/>
      <c r="AP899" s="247"/>
      <c r="AQ899" s="247"/>
      <c r="AR899" s="247"/>
      <c r="AS899" s="247"/>
      <c r="AT899" s="247"/>
      <c r="AU899" s="247"/>
      <c r="AW899" s="116"/>
    </row>
    <row r="900" spans="39:49" ht="24" customHeight="1">
      <c r="AM900" s="247"/>
      <c r="AN900" s="247"/>
      <c r="AO900" s="247"/>
      <c r="AP900" s="247"/>
      <c r="AQ900" s="247"/>
      <c r="AR900" s="247"/>
      <c r="AS900" s="247"/>
      <c r="AT900" s="247"/>
      <c r="AU900" s="247"/>
      <c r="AW900" s="116"/>
    </row>
    <row r="901" spans="39:49" ht="13.5" customHeight="1">
      <c r="AM901" s="247"/>
      <c r="AN901" s="247"/>
      <c r="AO901" s="247"/>
      <c r="AP901" s="247"/>
      <c r="AQ901" s="247"/>
      <c r="AR901" s="247"/>
      <c r="AS901" s="247"/>
      <c r="AT901" s="247"/>
      <c r="AU901" s="247"/>
      <c r="AW901" s="116"/>
    </row>
    <row r="902" spans="39:49" ht="24" customHeight="1">
      <c r="AM902" s="247"/>
      <c r="AN902" s="247"/>
      <c r="AO902" s="247"/>
      <c r="AP902" s="247"/>
      <c r="AQ902" s="247"/>
      <c r="AR902" s="247"/>
      <c r="AS902" s="247"/>
      <c r="AT902" s="247"/>
      <c r="AU902" s="247"/>
      <c r="AW902" s="116"/>
    </row>
    <row r="903" spans="39:49" ht="13.5" customHeight="1">
      <c r="AM903" s="247"/>
      <c r="AN903" s="247"/>
      <c r="AO903" s="247"/>
      <c r="AP903" s="247"/>
      <c r="AQ903" s="247"/>
      <c r="AR903" s="247"/>
      <c r="AS903" s="247"/>
      <c r="AT903" s="247"/>
      <c r="AU903" s="247"/>
      <c r="AW903" s="116"/>
    </row>
    <row r="904" spans="39:49" ht="24" customHeight="1">
      <c r="AM904" s="247"/>
      <c r="AN904" s="247"/>
      <c r="AO904" s="247"/>
      <c r="AP904" s="247"/>
      <c r="AQ904" s="247"/>
      <c r="AR904" s="247"/>
      <c r="AS904" s="247"/>
      <c r="AT904" s="247"/>
      <c r="AU904" s="247"/>
      <c r="AW904" s="116"/>
    </row>
    <row r="905" spans="39:49" ht="13.5" customHeight="1">
      <c r="AM905" s="247"/>
      <c r="AN905" s="247"/>
      <c r="AO905" s="247"/>
      <c r="AP905" s="247"/>
      <c r="AQ905" s="247"/>
      <c r="AR905" s="247"/>
      <c r="AS905" s="247"/>
      <c r="AT905" s="247"/>
      <c r="AU905" s="247"/>
      <c r="AW905" s="116"/>
    </row>
    <row r="906" spans="39:49" ht="24" customHeight="1">
      <c r="AM906" s="247"/>
      <c r="AN906" s="247"/>
      <c r="AO906" s="247"/>
      <c r="AP906" s="247"/>
      <c r="AQ906" s="247"/>
      <c r="AR906" s="247"/>
      <c r="AS906" s="247"/>
      <c r="AT906" s="247"/>
      <c r="AU906" s="247"/>
      <c r="AW906" s="116"/>
    </row>
    <row r="907" spans="39:49" ht="13.5" customHeight="1">
      <c r="AM907" s="247"/>
      <c r="AN907" s="247"/>
      <c r="AO907" s="247"/>
      <c r="AP907" s="247"/>
      <c r="AQ907" s="247"/>
      <c r="AR907" s="247"/>
      <c r="AS907" s="247"/>
      <c r="AT907" s="247"/>
      <c r="AU907" s="247"/>
      <c r="AW907" s="116"/>
    </row>
    <row r="908" spans="39:49" ht="24" customHeight="1">
      <c r="AM908" s="247"/>
      <c r="AN908" s="247"/>
      <c r="AO908" s="247"/>
      <c r="AP908" s="247"/>
      <c r="AQ908" s="247"/>
      <c r="AR908" s="247"/>
      <c r="AS908" s="247"/>
      <c r="AT908" s="247"/>
      <c r="AU908" s="247"/>
      <c r="AW908" s="116"/>
    </row>
    <row r="909" spans="39:49" ht="13.5" customHeight="1">
      <c r="AM909" s="247"/>
      <c r="AN909" s="247"/>
      <c r="AO909" s="247"/>
      <c r="AP909" s="247"/>
      <c r="AQ909" s="247"/>
      <c r="AR909" s="247"/>
      <c r="AS909" s="247"/>
      <c r="AT909" s="247"/>
      <c r="AU909" s="247"/>
      <c r="AW909" s="116"/>
    </row>
    <row r="910" spans="39:49" ht="24" customHeight="1">
      <c r="AM910" s="247"/>
      <c r="AN910" s="247"/>
      <c r="AO910" s="247"/>
      <c r="AP910" s="247"/>
      <c r="AQ910" s="247"/>
      <c r="AR910" s="247"/>
      <c r="AS910" s="247"/>
      <c r="AT910" s="247"/>
      <c r="AU910" s="247"/>
      <c r="AW910" s="116"/>
    </row>
    <row r="911" spans="39:49" ht="13.5" customHeight="1">
      <c r="AM911" s="247"/>
      <c r="AN911" s="247"/>
      <c r="AO911" s="247"/>
      <c r="AP911" s="247"/>
      <c r="AQ911" s="247"/>
      <c r="AR911" s="247"/>
      <c r="AS911" s="247"/>
      <c r="AT911" s="247"/>
      <c r="AU911" s="247"/>
      <c r="AW911" s="116"/>
    </row>
    <row r="912" spans="39:49" ht="24" customHeight="1">
      <c r="AM912" s="247"/>
      <c r="AN912" s="247"/>
      <c r="AO912" s="247"/>
      <c r="AP912" s="247"/>
      <c r="AQ912" s="247"/>
      <c r="AR912" s="247"/>
      <c r="AS912" s="247"/>
      <c r="AT912" s="247"/>
      <c r="AU912" s="247"/>
      <c r="AW912" s="116"/>
    </row>
    <row r="913" spans="39:49" ht="13.5" customHeight="1">
      <c r="AM913" s="247"/>
      <c r="AN913" s="247"/>
      <c r="AO913" s="247"/>
      <c r="AP913" s="247"/>
      <c r="AQ913" s="247"/>
      <c r="AR913" s="247"/>
      <c r="AS913" s="247"/>
      <c r="AT913" s="247"/>
      <c r="AU913" s="247"/>
      <c r="AW913" s="116"/>
    </row>
    <row r="914" spans="39:49" ht="24" customHeight="1">
      <c r="AM914" s="247"/>
      <c r="AN914" s="247"/>
      <c r="AO914" s="247"/>
      <c r="AP914" s="247"/>
      <c r="AQ914" s="247"/>
      <c r="AR914" s="247"/>
      <c r="AS914" s="247"/>
      <c r="AT914" s="247"/>
      <c r="AU914" s="247"/>
      <c r="AW914" s="116"/>
    </row>
    <row r="915" spans="39:49" ht="13.5" customHeight="1">
      <c r="AM915" s="247"/>
      <c r="AN915" s="247"/>
      <c r="AO915" s="247"/>
      <c r="AP915" s="247"/>
      <c r="AQ915" s="247"/>
      <c r="AR915" s="247"/>
      <c r="AS915" s="247"/>
      <c r="AT915" s="247"/>
      <c r="AU915" s="247"/>
      <c r="AW915" s="116"/>
    </row>
    <row r="916" spans="39:49" ht="24" customHeight="1">
      <c r="AM916" s="247"/>
      <c r="AN916" s="247"/>
      <c r="AO916" s="247"/>
      <c r="AP916" s="247"/>
      <c r="AQ916" s="247"/>
      <c r="AR916" s="247"/>
      <c r="AS916" s="247"/>
      <c r="AT916" s="247"/>
      <c r="AU916" s="247"/>
      <c r="AW916" s="116"/>
    </row>
    <row r="917" spans="39:49" ht="13.5" customHeight="1">
      <c r="AM917" s="247"/>
      <c r="AN917" s="247"/>
      <c r="AO917" s="247"/>
      <c r="AP917" s="247"/>
      <c r="AQ917" s="247"/>
      <c r="AR917" s="247"/>
      <c r="AS917" s="247"/>
      <c r="AT917" s="247"/>
      <c r="AU917" s="247"/>
      <c r="AW917" s="116"/>
    </row>
    <row r="918" spans="39:49" ht="24" customHeight="1">
      <c r="AM918" s="247"/>
      <c r="AN918" s="247"/>
      <c r="AO918" s="247"/>
      <c r="AP918" s="247"/>
      <c r="AQ918" s="247"/>
      <c r="AR918" s="247"/>
      <c r="AS918" s="247"/>
      <c r="AT918" s="247"/>
      <c r="AU918" s="247"/>
      <c r="AW918" s="116"/>
    </row>
    <row r="919" spans="39:49" ht="13.5" customHeight="1">
      <c r="AM919" s="247"/>
      <c r="AN919" s="247"/>
      <c r="AO919" s="247"/>
      <c r="AP919" s="247"/>
      <c r="AQ919" s="247"/>
      <c r="AR919" s="247"/>
      <c r="AS919" s="247"/>
      <c r="AT919" s="247"/>
      <c r="AU919" s="247"/>
      <c r="AW919" s="116"/>
    </row>
    <row r="920" spans="39:49" ht="24" customHeight="1">
      <c r="AM920" s="247"/>
      <c r="AN920" s="247"/>
      <c r="AO920" s="247"/>
      <c r="AP920" s="247"/>
      <c r="AQ920" s="247"/>
      <c r="AR920" s="247"/>
      <c r="AS920" s="247"/>
      <c r="AT920" s="247"/>
      <c r="AU920" s="247"/>
      <c r="AW920" s="116"/>
    </row>
    <row r="921" spans="39:49" ht="13.5" customHeight="1">
      <c r="AM921" s="247"/>
      <c r="AN921" s="247"/>
      <c r="AO921" s="247"/>
      <c r="AP921" s="247"/>
      <c r="AQ921" s="247"/>
      <c r="AR921" s="247"/>
      <c r="AS921" s="247"/>
      <c r="AT921" s="247"/>
      <c r="AU921" s="247"/>
      <c r="AW921" s="116"/>
    </row>
    <row r="922" spans="39:49" ht="24" customHeight="1">
      <c r="AM922" s="247"/>
      <c r="AN922" s="247"/>
      <c r="AO922" s="247"/>
      <c r="AP922" s="247"/>
      <c r="AQ922" s="247"/>
      <c r="AR922" s="247"/>
      <c r="AS922" s="247"/>
      <c r="AT922" s="247"/>
      <c r="AU922" s="247"/>
      <c r="AW922" s="116"/>
    </row>
    <row r="923" spans="39:49" ht="13.5" customHeight="1">
      <c r="AM923" s="247"/>
      <c r="AN923" s="247"/>
      <c r="AO923" s="247"/>
      <c r="AP923" s="247"/>
      <c r="AQ923" s="247"/>
      <c r="AR923" s="247"/>
      <c r="AS923" s="247"/>
      <c r="AT923" s="247"/>
      <c r="AU923" s="247"/>
      <c r="AW923" s="116"/>
    </row>
    <row r="924" spans="39:49" ht="24" customHeight="1">
      <c r="AM924" s="247"/>
      <c r="AN924" s="247"/>
      <c r="AO924" s="247"/>
      <c r="AP924" s="247"/>
      <c r="AQ924" s="247"/>
      <c r="AR924" s="247"/>
      <c r="AS924" s="247"/>
      <c r="AT924" s="247"/>
      <c r="AU924" s="247"/>
      <c r="AW924" s="116"/>
    </row>
    <row r="925" spans="39:49" ht="13.5" customHeight="1">
      <c r="AM925" s="247"/>
      <c r="AN925" s="247"/>
      <c r="AO925" s="247"/>
      <c r="AP925" s="247"/>
      <c r="AQ925" s="247"/>
      <c r="AR925" s="247"/>
      <c r="AS925" s="247"/>
      <c r="AT925" s="247"/>
      <c r="AU925" s="247"/>
      <c r="AW925" s="116"/>
    </row>
    <row r="926" spans="39:49" ht="24" customHeight="1">
      <c r="AM926" s="247"/>
      <c r="AN926" s="247"/>
      <c r="AO926" s="247"/>
      <c r="AP926" s="247"/>
      <c r="AQ926" s="247"/>
      <c r="AR926" s="247"/>
      <c r="AS926" s="247"/>
      <c r="AT926" s="247"/>
      <c r="AU926" s="247"/>
      <c r="AW926" s="116"/>
    </row>
    <row r="927" spans="39:49" ht="13.5" customHeight="1">
      <c r="AM927" s="247"/>
      <c r="AN927" s="247"/>
      <c r="AO927" s="247"/>
      <c r="AP927" s="247"/>
      <c r="AQ927" s="247"/>
      <c r="AR927" s="247"/>
      <c r="AS927" s="247"/>
      <c r="AT927" s="247"/>
      <c r="AU927" s="247"/>
      <c r="AW927" s="116"/>
    </row>
    <row r="928" spans="39:49" ht="24" customHeight="1">
      <c r="AM928" s="247"/>
      <c r="AN928" s="247"/>
      <c r="AO928" s="247"/>
      <c r="AP928" s="247"/>
      <c r="AQ928" s="247"/>
      <c r="AR928" s="247"/>
      <c r="AS928" s="247"/>
      <c r="AT928" s="247"/>
      <c r="AU928" s="247"/>
      <c r="AW928" s="116"/>
    </row>
    <row r="929" spans="39:49" ht="13.5" customHeight="1">
      <c r="AM929" s="247"/>
      <c r="AN929" s="247"/>
      <c r="AO929" s="247"/>
      <c r="AP929" s="247"/>
      <c r="AQ929" s="247"/>
      <c r="AR929" s="247"/>
      <c r="AS929" s="247"/>
      <c r="AT929" s="247"/>
      <c r="AU929" s="247"/>
      <c r="AW929" s="116"/>
    </row>
    <row r="930" spans="39:49" ht="24" customHeight="1">
      <c r="AM930" s="247"/>
      <c r="AN930" s="247"/>
      <c r="AO930" s="247"/>
      <c r="AP930" s="247"/>
      <c r="AQ930" s="247"/>
      <c r="AR930" s="247"/>
      <c r="AS930" s="247"/>
      <c r="AT930" s="247"/>
      <c r="AU930" s="247"/>
      <c r="AW930" s="116"/>
    </row>
    <row r="931" spans="39:49" ht="13.5" customHeight="1">
      <c r="AM931" s="247"/>
      <c r="AN931" s="247"/>
      <c r="AO931" s="247"/>
      <c r="AP931" s="247"/>
      <c r="AQ931" s="247"/>
      <c r="AR931" s="247"/>
      <c r="AS931" s="247"/>
      <c r="AT931" s="247"/>
      <c r="AU931" s="247"/>
      <c r="AW931" s="116"/>
    </row>
    <row r="932" spans="39:49" ht="24" customHeight="1">
      <c r="AM932" s="247"/>
      <c r="AN932" s="247"/>
      <c r="AO932" s="247"/>
      <c r="AP932" s="247"/>
      <c r="AQ932" s="247"/>
      <c r="AR932" s="247"/>
      <c r="AS932" s="247"/>
      <c r="AT932" s="247"/>
      <c r="AU932" s="247"/>
      <c r="AW932" s="116"/>
    </row>
    <row r="933" spans="39:49" ht="13.5" customHeight="1">
      <c r="AM933" s="247"/>
      <c r="AN933" s="247"/>
      <c r="AO933" s="247"/>
      <c r="AP933" s="247"/>
      <c r="AQ933" s="247"/>
      <c r="AR933" s="247"/>
      <c r="AS933" s="247"/>
      <c r="AT933" s="247"/>
      <c r="AU933" s="247"/>
      <c r="AW933" s="116"/>
    </row>
    <row r="934" spans="39:49" ht="24" customHeight="1">
      <c r="AM934" s="247"/>
      <c r="AN934" s="247"/>
      <c r="AO934" s="247"/>
      <c r="AP934" s="247"/>
      <c r="AQ934" s="247"/>
      <c r="AR934" s="247"/>
      <c r="AS934" s="247"/>
      <c r="AT934" s="247"/>
      <c r="AU934" s="247"/>
      <c r="AW934" s="116"/>
    </row>
    <row r="935" spans="39:49" ht="13.5" customHeight="1">
      <c r="AM935" s="247"/>
      <c r="AN935" s="247"/>
      <c r="AO935" s="247"/>
      <c r="AP935" s="247"/>
      <c r="AQ935" s="247"/>
      <c r="AR935" s="247"/>
      <c r="AS935" s="247"/>
      <c r="AT935" s="247"/>
      <c r="AU935" s="247"/>
      <c r="AW935" s="116"/>
    </row>
    <row r="936" spans="39:49" ht="24" customHeight="1">
      <c r="AM936" s="247"/>
      <c r="AN936" s="247"/>
      <c r="AO936" s="247"/>
      <c r="AP936" s="247"/>
      <c r="AQ936" s="247"/>
      <c r="AR936" s="247"/>
      <c r="AS936" s="247"/>
      <c r="AT936" s="247"/>
      <c r="AU936" s="247"/>
      <c r="AW936" s="116"/>
    </row>
    <row r="937" spans="39:49" ht="13.5" customHeight="1">
      <c r="AM937" s="247"/>
      <c r="AN937" s="247"/>
      <c r="AO937" s="247"/>
      <c r="AP937" s="247"/>
      <c r="AQ937" s="247"/>
      <c r="AR937" s="247"/>
      <c r="AS937" s="247"/>
      <c r="AT937" s="247"/>
      <c r="AU937" s="247"/>
      <c r="AW937" s="116"/>
    </row>
    <row r="938" spans="39:49" ht="24" customHeight="1">
      <c r="AM938" s="247"/>
      <c r="AN938" s="247"/>
      <c r="AO938" s="247"/>
      <c r="AP938" s="247"/>
      <c r="AQ938" s="247"/>
      <c r="AR938" s="247"/>
      <c r="AS938" s="247"/>
      <c r="AT938" s="247"/>
      <c r="AU938" s="247"/>
      <c r="AW938" s="116"/>
    </row>
    <row r="939" spans="39:49" ht="13.5" customHeight="1">
      <c r="AM939" s="247"/>
      <c r="AN939" s="247"/>
      <c r="AO939" s="247"/>
      <c r="AP939" s="247"/>
      <c r="AQ939" s="247"/>
      <c r="AR939" s="247"/>
      <c r="AS939" s="247"/>
      <c r="AT939" s="247"/>
      <c r="AU939" s="247"/>
      <c r="AW939" s="116"/>
    </row>
    <row r="940" spans="39:49" ht="24" customHeight="1">
      <c r="AM940" s="247"/>
      <c r="AN940" s="247"/>
      <c r="AO940" s="247"/>
      <c r="AP940" s="247"/>
      <c r="AQ940" s="247"/>
      <c r="AR940" s="247"/>
      <c r="AS940" s="247"/>
      <c r="AT940" s="247"/>
      <c r="AU940" s="247"/>
      <c r="AW940" s="116"/>
    </row>
    <row r="941" spans="39:49" ht="13.5" customHeight="1">
      <c r="AM941" s="247"/>
      <c r="AN941" s="247"/>
      <c r="AO941" s="247"/>
      <c r="AP941" s="247"/>
      <c r="AQ941" s="247"/>
      <c r="AR941" s="247"/>
      <c r="AS941" s="247"/>
      <c r="AT941" s="247"/>
      <c r="AU941" s="247"/>
      <c r="AW941" s="116"/>
    </row>
    <row r="942" spans="39:49" ht="24" customHeight="1">
      <c r="AM942" s="247"/>
      <c r="AN942" s="247"/>
      <c r="AO942" s="247"/>
      <c r="AP942" s="247"/>
      <c r="AQ942" s="247"/>
      <c r="AR942" s="247"/>
      <c r="AS942" s="247"/>
      <c r="AT942" s="247"/>
      <c r="AU942" s="247"/>
      <c r="AW942" s="116"/>
    </row>
    <row r="943" spans="39:49" ht="13.5" customHeight="1">
      <c r="AM943" s="247"/>
      <c r="AN943" s="247"/>
      <c r="AO943" s="247"/>
      <c r="AP943" s="247"/>
      <c r="AQ943" s="247"/>
      <c r="AR943" s="247"/>
      <c r="AS943" s="247"/>
      <c r="AT943" s="247"/>
      <c r="AU943" s="247"/>
      <c r="AW943" s="116"/>
    </row>
    <row r="944" spans="39:49" ht="24" customHeight="1">
      <c r="AM944" s="247"/>
      <c r="AN944" s="247"/>
      <c r="AO944" s="247"/>
      <c r="AP944" s="247"/>
      <c r="AQ944" s="247"/>
      <c r="AR944" s="247"/>
      <c r="AS944" s="247"/>
      <c r="AT944" s="247"/>
      <c r="AU944" s="247"/>
      <c r="AW944" s="116"/>
    </row>
    <row r="945" spans="39:49" ht="13.5" customHeight="1">
      <c r="AM945" s="247"/>
      <c r="AN945" s="247"/>
      <c r="AO945" s="247"/>
      <c r="AP945" s="247"/>
      <c r="AQ945" s="247"/>
      <c r="AR945" s="247"/>
      <c r="AS945" s="247"/>
      <c r="AT945" s="247"/>
      <c r="AU945" s="247"/>
      <c r="AW945" s="116"/>
    </row>
    <row r="946" spans="39:49" ht="24" customHeight="1">
      <c r="AM946" s="247"/>
      <c r="AN946" s="247"/>
      <c r="AO946" s="247"/>
      <c r="AP946" s="247"/>
      <c r="AQ946" s="247"/>
      <c r="AR946" s="247"/>
      <c r="AS946" s="247"/>
      <c r="AT946" s="247"/>
      <c r="AU946" s="247"/>
      <c r="AW946" s="116"/>
    </row>
    <row r="947" spans="39:49" ht="13.5" customHeight="1">
      <c r="AM947" s="247"/>
      <c r="AN947" s="247"/>
      <c r="AO947" s="247"/>
      <c r="AP947" s="247"/>
      <c r="AQ947" s="247"/>
      <c r="AR947" s="247"/>
      <c r="AS947" s="247"/>
      <c r="AT947" s="247"/>
      <c r="AU947" s="247"/>
      <c r="AW947" s="116"/>
    </row>
    <row r="948" spans="39:49" ht="24" customHeight="1">
      <c r="AM948" s="247"/>
      <c r="AN948" s="247"/>
      <c r="AO948" s="247"/>
      <c r="AP948" s="247"/>
      <c r="AQ948" s="247"/>
      <c r="AR948" s="247"/>
      <c r="AS948" s="247"/>
      <c r="AT948" s="247"/>
      <c r="AU948" s="247"/>
      <c r="AW948" s="116"/>
    </row>
    <row r="949" spans="39:49" ht="13.5" customHeight="1">
      <c r="AM949" s="247"/>
      <c r="AN949" s="247"/>
      <c r="AO949" s="247"/>
      <c r="AP949" s="247"/>
      <c r="AQ949" s="247"/>
      <c r="AR949" s="247"/>
      <c r="AS949" s="247"/>
      <c r="AT949" s="247"/>
      <c r="AU949" s="247"/>
      <c r="AW949" s="116"/>
    </row>
    <row r="950" spans="39:49" ht="24" customHeight="1">
      <c r="AM950" s="247"/>
      <c r="AN950" s="247"/>
      <c r="AO950" s="247"/>
      <c r="AP950" s="247"/>
      <c r="AQ950" s="247"/>
      <c r="AR950" s="247"/>
      <c r="AS950" s="247"/>
      <c r="AT950" s="247"/>
      <c r="AU950" s="247"/>
      <c r="AW950" s="116"/>
    </row>
    <row r="951" spans="39:49" ht="13.5" customHeight="1">
      <c r="AM951" s="247"/>
      <c r="AN951" s="247"/>
      <c r="AO951" s="247"/>
      <c r="AP951" s="247"/>
      <c r="AQ951" s="247"/>
      <c r="AR951" s="247"/>
      <c r="AS951" s="247"/>
      <c r="AT951" s="247"/>
      <c r="AU951" s="247"/>
      <c r="AW951" s="116"/>
    </row>
    <row r="952" spans="39:49" ht="24" customHeight="1">
      <c r="AM952" s="247"/>
      <c r="AN952" s="247"/>
      <c r="AO952" s="247"/>
      <c r="AP952" s="247"/>
      <c r="AQ952" s="247"/>
      <c r="AR952" s="247"/>
      <c r="AS952" s="247"/>
      <c r="AT952" s="247"/>
      <c r="AU952" s="247"/>
      <c r="AW952" s="116"/>
    </row>
    <row r="953" spans="39:49" ht="13.5" customHeight="1">
      <c r="AM953" s="247"/>
      <c r="AN953" s="247"/>
      <c r="AO953" s="247"/>
      <c r="AP953" s="247"/>
      <c r="AQ953" s="247"/>
      <c r="AR953" s="247"/>
      <c r="AS953" s="247"/>
      <c r="AT953" s="247"/>
      <c r="AU953" s="247"/>
      <c r="AW953" s="116"/>
    </row>
    <row r="954" spans="39:49" ht="24" customHeight="1">
      <c r="AM954" s="247"/>
      <c r="AN954" s="247"/>
      <c r="AO954" s="247"/>
      <c r="AP954" s="247"/>
      <c r="AQ954" s="247"/>
      <c r="AR954" s="247"/>
      <c r="AS954" s="247"/>
      <c r="AT954" s="247"/>
      <c r="AU954" s="247"/>
      <c r="AW954" s="116"/>
    </row>
    <row r="955" spans="39:49" ht="13.5" customHeight="1">
      <c r="AM955" s="247"/>
      <c r="AN955" s="247"/>
      <c r="AO955" s="247"/>
      <c r="AP955" s="247"/>
      <c r="AQ955" s="247"/>
      <c r="AR955" s="247"/>
      <c r="AS955" s="247"/>
      <c r="AT955" s="247"/>
      <c r="AU955" s="247"/>
      <c r="AW955" s="116"/>
    </row>
    <row r="956" spans="39:49" ht="24" customHeight="1">
      <c r="AM956" s="247"/>
      <c r="AN956" s="247"/>
      <c r="AO956" s="247"/>
      <c r="AP956" s="247"/>
      <c r="AQ956" s="247"/>
      <c r="AR956" s="247"/>
      <c r="AS956" s="247"/>
      <c r="AT956" s="247"/>
      <c r="AU956" s="247"/>
      <c r="AW956" s="116"/>
    </row>
    <row r="957" spans="39:49" ht="13.5" customHeight="1">
      <c r="AM957" s="247"/>
      <c r="AN957" s="247"/>
      <c r="AO957" s="247"/>
      <c r="AP957" s="247"/>
      <c r="AQ957" s="247"/>
      <c r="AR957" s="247"/>
      <c r="AS957" s="247"/>
      <c r="AT957" s="247"/>
      <c r="AU957" s="247"/>
      <c r="AW957" s="116"/>
    </row>
    <row r="958" spans="39:49" ht="24" customHeight="1">
      <c r="AM958" s="247"/>
      <c r="AN958" s="247"/>
      <c r="AO958" s="247"/>
      <c r="AP958" s="247"/>
      <c r="AQ958" s="247"/>
      <c r="AR958" s="247"/>
      <c r="AS958" s="247"/>
      <c r="AT958" s="247"/>
      <c r="AU958" s="247"/>
      <c r="AW958" s="116"/>
    </row>
    <row r="959" spans="39:49" ht="13.5" customHeight="1">
      <c r="AM959" s="247"/>
      <c r="AN959" s="247"/>
      <c r="AO959" s="247"/>
      <c r="AP959" s="247"/>
      <c r="AQ959" s="247"/>
      <c r="AR959" s="247"/>
      <c r="AS959" s="247"/>
      <c r="AT959" s="247"/>
      <c r="AU959" s="247"/>
      <c r="AW959" s="116"/>
    </row>
    <row r="960" spans="39:49" ht="24" customHeight="1">
      <c r="AM960" s="247"/>
      <c r="AN960" s="247"/>
      <c r="AO960" s="247"/>
      <c r="AP960" s="247"/>
      <c r="AQ960" s="247"/>
      <c r="AR960" s="247"/>
      <c r="AS960" s="247"/>
      <c r="AT960" s="247"/>
      <c r="AU960" s="247"/>
      <c r="AW960" s="116"/>
    </row>
    <row r="961" spans="39:49" ht="13.5" customHeight="1">
      <c r="AM961" s="247"/>
      <c r="AN961" s="247"/>
      <c r="AO961" s="247"/>
      <c r="AP961" s="247"/>
      <c r="AQ961" s="247"/>
      <c r="AR961" s="247"/>
      <c r="AS961" s="247"/>
      <c r="AT961" s="247"/>
      <c r="AU961" s="247"/>
      <c r="AW961" s="116"/>
    </row>
    <row r="962" spans="39:49" ht="24" customHeight="1">
      <c r="AM962" s="247"/>
      <c r="AN962" s="247"/>
      <c r="AO962" s="247"/>
      <c r="AP962" s="247"/>
      <c r="AQ962" s="247"/>
      <c r="AR962" s="247"/>
      <c r="AS962" s="247"/>
      <c r="AT962" s="247"/>
      <c r="AU962" s="247"/>
      <c r="AW962" s="116"/>
    </row>
    <row r="963" spans="39:49" ht="13.5" customHeight="1">
      <c r="AM963" s="247"/>
      <c r="AN963" s="247"/>
      <c r="AO963" s="247"/>
      <c r="AP963" s="247"/>
      <c r="AQ963" s="247"/>
      <c r="AR963" s="247"/>
      <c r="AS963" s="247"/>
      <c r="AT963" s="247"/>
      <c r="AU963" s="247"/>
      <c r="AW963" s="116"/>
    </row>
    <row r="964" spans="39:49" ht="24" customHeight="1">
      <c r="AM964" s="247"/>
      <c r="AN964" s="247"/>
      <c r="AO964" s="247"/>
      <c r="AP964" s="247"/>
      <c r="AQ964" s="247"/>
      <c r="AR964" s="247"/>
      <c r="AS964" s="247"/>
      <c r="AT964" s="247"/>
      <c r="AU964" s="247"/>
      <c r="AW964" s="116"/>
    </row>
    <row r="965" spans="39:49" ht="13.5" customHeight="1">
      <c r="AM965" s="247"/>
      <c r="AN965" s="247"/>
      <c r="AO965" s="247"/>
      <c r="AP965" s="247"/>
      <c r="AQ965" s="247"/>
      <c r="AR965" s="247"/>
      <c r="AS965" s="247"/>
      <c r="AT965" s="247"/>
      <c r="AU965" s="247"/>
      <c r="AW965" s="116"/>
    </row>
    <row r="966" spans="39:49" ht="24" customHeight="1">
      <c r="AM966" s="247"/>
      <c r="AN966" s="247"/>
      <c r="AO966" s="247"/>
      <c r="AP966" s="247"/>
      <c r="AQ966" s="247"/>
      <c r="AR966" s="247"/>
      <c r="AS966" s="247"/>
      <c r="AT966" s="247"/>
      <c r="AU966" s="247"/>
      <c r="AW966" s="116"/>
    </row>
    <row r="967" spans="39:49" ht="13.5" customHeight="1">
      <c r="AM967" s="247"/>
      <c r="AN967" s="247"/>
      <c r="AO967" s="247"/>
      <c r="AP967" s="247"/>
      <c r="AQ967" s="247"/>
      <c r="AR967" s="247"/>
      <c r="AS967" s="247"/>
      <c r="AT967" s="247"/>
      <c r="AU967" s="247"/>
      <c r="AW967" s="116"/>
    </row>
    <row r="968" spans="39:49" ht="24" customHeight="1">
      <c r="AM968" s="247"/>
      <c r="AN968" s="247"/>
      <c r="AO968" s="247"/>
      <c r="AP968" s="247"/>
      <c r="AQ968" s="247"/>
      <c r="AR968" s="247"/>
      <c r="AS968" s="247"/>
      <c r="AT968" s="247"/>
      <c r="AU968" s="247"/>
      <c r="AW968" s="116"/>
    </row>
    <row r="969" spans="39:49" ht="13.5" customHeight="1">
      <c r="AM969" s="247"/>
      <c r="AN969" s="247"/>
      <c r="AO969" s="247"/>
      <c r="AP969" s="247"/>
      <c r="AQ969" s="247"/>
      <c r="AR969" s="247"/>
      <c r="AS969" s="247"/>
      <c r="AT969" s="247"/>
      <c r="AU969" s="247"/>
      <c r="AW969" s="116"/>
    </row>
    <row r="970" spans="39:49" ht="24" customHeight="1">
      <c r="AM970" s="247"/>
      <c r="AN970" s="247"/>
      <c r="AO970" s="247"/>
      <c r="AP970" s="247"/>
      <c r="AQ970" s="247"/>
      <c r="AR970" s="247"/>
      <c r="AS970" s="247"/>
      <c r="AT970" s="247"/>
      <c r="AU970" s="247"/>
      <c r="AW970" s="116"/>
    </row>
    <row r="971" spans="39:49" ht="13.5" customHeight="1">
      <c r="AM971" s="247"/>
      <c r="AN971" s="247"/>
      <c r="AO971" s="247"/>
      <c r="AP971" s="247"/>
      <c r="AQ971" s="247"/>
      <c r="AR971" s="247"/>
      <c r="AS971" s="247"/>
      <c r="AT971" s="247"/>
      <c r="AU971" s="247"/>
      <c r="AW971" s="116"/>
    </row>
    <row r="972" spans="39:49" ht="24" customHeight="1">
      <c r="AM972" s="247"/>
      <c r="AN972" s="247"/>
      <c r="AO972" s="247"/>
      <c r="AP972" s="247"/>
      <c r="AQ972" s="247"/>
      <c r="AR972" s="247"/>
      <c r="AS972" s="247"/>
      <c r="AT972" s="247"/>
      <c r="AU972" s="247"/>
      <c r="AW972" s="116"/>
    </row>
    <row r="973" spans="39:49" ht="13.5" customHeight="1">
      <c r="AM973" s="247"/>
      <c r="AN973" s="247"/>
      <c r="AO973" s="247"/>
      <c r="AP973" s="247"/>
      <c r="AQ973" s="247"/>
      <c r="AR973" s="247"/>
      <c r="AS973" s="247"/>
      <c r="AT973" s="247"/>
      <c r="AU973" s="247"/>
      <c r="AW973" s="116"/>
    </row>
    <row r="974" spans="39:49" ht="24" customHeight="1">
      <c r="AM974" s="247"/>
      <c r="AN974" s="247"/>
      <c r="AO974" s="247"/>
      <c r="AP974" s="247"/>
      <c r="AQ974" s="247"/>
      <c r="AR974" s="247"/>
      <c r="AS974" s="247"/>
      <c r="AT974" s="247"/>
      <c r="AU974" s="247"/>
      <c r="AW974" s="116"/>
    </row>
    <row r="975" spans="39:49" ht="13.5" customHeight="1">
      <c r="AM975" s="247"/>
      <c r="AN975" s="247"/>
      <c r="AO975" s="247"/>
      <c r="AP975" s="247"/>
      <c r="AQ975" s="247"/>
      <c r="AR975" s="247"/>
      <c r="AS975" s="247"/>
      <c r="AT975" s="247"/>
      <c r="AU975" s="247"/>
      <c r="AW975" s="116"/>
    </row>
    <row r="976" spans="39:49" ht="24" customHeight="1">
      <c r="AM976" s="247"/>
      <c r="AN976" s="247"/>
      <c r="AO976" s="247"/>
      <c r="AP976" s="247"/>
      <c r="AQ976" s="247"/>
      <c r="AR976" s="247"/>
      <c r="AS976" s="247"/>
      <c r="AT976" s="247"/>
      <c r="AU976" s="247"/>
      <c r="AW976" s="116"/>
    </row>
    <row r="977" spans="39:49" ht="13.5" customHeight="1">
      <c r="AM977" s="247"/>
      <c r="AN977" s="247"/>
      <c r="AO977" s="247"/>
      <c r="AP977" s="247"/>
      <c r="AQ977" s="247"/>
      <c r="AR977" s="247"/>
      <c r="AS977" s="247"/>
      <c r="AT977" s="247"/>
      <c r="AU977" s="247"/>
      <c r="AW977" s="116"/>
    </row>
    <row r="978" spans="39:49" ht="24" customHeight="1">
      <c r="AM978" s="247"/>
      <c r="AN978" s="247"/>
      <c r="AO978" s="247"/>
      <c r="AP978" s="247"/>
      <c r="AQ978" s="247"/>
      <c r="AR978" s="247"/>
      <c r="AS978" s="247"/>
      <c r="AT978" s="247"/>
      <c r="AU978" s="247"/>
      <c r="AW978" s="116"/>
    </row>
    <row r="979" spans="39:49" ht="13.5" customHeight="1">
      <c r="AM979" s="247"/>
      <c r="AN979" s="247"/>
      <c r="AO979" s="247"/>
      <c r="AP979" s="247"/>
      <c r="AQ979" s="247"/>
      <c r="AR979" s="247"/>
      <c r="AS979" s="247"/>
      <c r="AT979" s="247"/>
      <c r="AU979" s="247"/>
      <c r="AW979" s="116"/>
    </row>
    <row r="980" spans="39:49" ht="24" customHeight="1">
      <c r="AM980" s="247"/>
      <c r="AN980" s="247"/>
      <c r="AO980" s="247"/>
      <c r="AP980" s="247"/>
      <c r="AQ980" s="247"/>
      <c r="AR980" s="247"/>
      <c r="AS980" s="247"/>
      <c r="AT980" s="247"/>
      <c r="AU980" s="247"/>
      <c r="AW980" s="116"/>
    </row>
    <row r="981" spans="39:49" ht="13.5" customHeight="1">
      <c r="AM981" s="247"/>
      <c r="AN981" s="247"/>
      <c r="AO981" s="247"/>
      <c r="AP981" s="247"/>
      <c r="AQ981" s="247"/>
      <c r="AR981" s="247"/>
      <c r="AS981" s="247"/>
      <c r="AT981" s="247"/>
      <c r="AU981" s="247"/>
      <c r="AW981" s="116"/>
    </row>
    <row r="982" spans="39:49" ht="24" customHeight="1">
      <c r="AM982" s="247"/>
      <c r="AN982" s="247"/>
      <c r="AO982" s="247"/>
      <c r="AP982" s="247"/>
      <c r="AQ982" s="247"/>
      <c r="AR982" s="247"/>
      <c r="AS982" s="247"/>
      <c r="AT982" s="247"/>
      <c r="AU982" s="247"/>
      <c r="AW982" s="116"/>
    </row>
    <row r="983" spans="39:49" ht="13.5" customHeight="1">
      <c r="AM983" s="247"/>
      <c r="AN983" s="247"/>
      <c r="AO983" s="247"/>
      <c r="AP983" s="247"/>
      <c r="AQ983" s="247"/>
      <c r="AR983" s="247"/>
      <c r="AS983" s="247"/>
      <c r="AT983" s="247"/>
      <c r="AU983" s="247"/>
      <c r="AW983" s="116"/>
    </row>
    <row r="984" spans="39:49" ht="24" customHeight="1">
      <c r="AM984" s="247"/>
      <c r="AN984" s="247"/>
      <c r="AO984" s="247"/>
      <c r="AP984" s="247"/>
      <c r="AQ984" s="247"/>
      <c r="AR984" s="247"/>
      <c r="AS984" s="247"/>
      <c r="AT984" s="247"/>
      <c r="AU984" s="247"/>
      <c r="AW984" s="116"/>
    </row>
    <row r="985" spans="39:49" ht="13.5" customHeight="1">
      <c r="AM985" s="247"/>
      <c r="AN985" s="247"/>
      <c r="AO985" s="247"/>
      <c r="AP985" s="247"/>
      <c r="AQ985" s="247"/>
      <c r="AR985" s="247"/>
      <c r="AS985" s="247"/>
      <c r="AT985" s="247"/>
      <c r="AU985" s="247"/>
      <c r="AW985" s="116"/>
    </row>
    <row r="986" spans="39:49" ht="24" customHeight="1">
      <c r="AM986" s="247"/>
      <c r="AN986" s="247"/>
      <c r="AO986" s="247"/>
      <c r="AP986" s="247"/>
      <c r="AQ986" s="247"/>
      <c r="AR986" s="247"/>
      <c r="AS986" s="247"/>
      <c r="AT986" s="247"/>
      <c r="AU986" s="247"/>
      <c r="AW986" s="116"/>
    </row>
    <row r="987" spans="39:49" ht="13.5" customHeight="1">
      <c r="AM987" s="247"/>
      <c r="AN987" s="247"/>
      <c r="AO987" s="247"/>
      <c r="AP987" s="247"/>
      <c r="AQ987" s="247"/>
      <c r="AR987" s="247"/>
      <c r="AS987" s="247"/>
      <c r="AT987" s="247"/>
      <c r="AU987" s="247"/>
      <c r="AW987" s="116"/>
    </row>
    <row r="988" spans="39:49" ht="24" customHeight="1">
      <c r="AM988" s="247"/>
      <c r="AN988" s="247"/>
      <c r="AO988" s="247"/>
      <c r="AP988" s="247"/>
      <c r="AQ988" s="247"/>
      <c r="AR988" s="247"/>
      <c r="AS988" s="247"/>
      <c r="AT988" s="247"/>
      <c r="AU988" s="247"/>
      <c r="AW988" s="116"/>
    </row>
    <row r="989" spans="39:49" ht="13.5" customHeight="1">
      <c r="AM989" s="247"/>
      <c r="AN989" s="247"/>
      <c r="AO989" s="247"/>
      <c r="AP989" s="247"/>
      <c r="AQ989" s="247"/>
      <c r="AR989" s="247"/>
      <c r="AS989" s="247"/>
      <c r="AT989" s="247"/>
      <c r="AU989" s="247"/>
      <c r="AW989" s="116"/>
    </row>
    <row r="990" spans="39:49" ht="24" customHeight="1">
      <c r="AM990" s="247"/>
      <c r="AN990" s="247"/>
      <c r="AO990" s="247"/>
      <c r="AP990" s="247"/>
      <c r="AQ990" s="247"/>
      <c r="AR990" s="247"/>
      <c r="AS990" s="247"/>
      <c r="AT990" s="247"/>
      <c r="AU990" s="247"/>
      <c r="AW990" s="116"/>
    </row>
    <row r="991" spans="39:49" ht="13.5" customHeight="1">
      <c r="AM991" s="247"/>
      <c r="AN991" s="247"/>
      <c r="AO991" s="247"/>
      <c r="AP991" s="247"/>
      <c r="AQ991" s="247"/>
      <c r="AR991" s="247"/>
      <c r="AS991" s="247"/>
      <c r="AT991" s="247"/>
      <c r="AU991" s="247"/>
      <c r="AW991" s="116"/>
    </row>
    <row r="992" spans="39:49" ht="24" customHeight="1">
      <c r="AM992" s="247"/>
      <c r="AN992" s="247"/>
      <c r="AO992" s="247"/>
      <c r="AP992" s="247"/>
      <c r="AQ992" s="247"/>
      <c r="AR992" s="247"/>
      <c r="AS992" s="247"/>
      <c r="AT992" s="247"/>
      <c r="AU992" s="247"/>
      <c r="AW992" s="116"/>
    </row>
    <row r="993" spans="39:49" ht="13.5" customHeight="1">
      <c r="AM993" s="247"/>
      <c r="AN993" s="247"/>
      <c r="AO993" s="247"/>
      <c r="AP993" s="247"/>
      <c r="AQ993" s="247"/>
      <c r="AR993" s="247"/>
      <c r="AS993" s="247"/>
      <c r="AT993" s="247"/>
      <c r="AU993" s="247"/>
      <c r="AW993" s="116"/>
    </row>
    <row r="994" spans="39:49" ht="24" customHeight="1">
      <c r="AM994" s="247"/>
      <c r="AN994" s="247"/>
      <c r="AO994" s="247"/>
      <c r="AP994" s="247"/>
      <c r="AQ994" s="247"/>
      <c r="AR994" s="247"/>
      <c r="AS994" s="247"/>
      <c r="AT994" s="247"/>
      <c r="AU994" s="247"/>
      <c r="AW994" s="116"/>
    </row>
    <row r="995" spans="39:49" ht="13.5" customHeight="1">
      <c r="AM995" s="247"/>
      <c r="AN995" s="247"/>
      <c r="AO995" s="247"/>
      <c r="AP995" s="247"/>
      <c r="AQ995" s="247"/>
      <c r="AR995" s="247"/>
      <c r="AS995" s="247"/>
      <c r="AT995" s="247"/>
      <c r="AU995" s="247"/>
      <c r="AW995" s="116"/>
    </row>
    <row r="996" spans="39:49" ht="24" customHeight="1">
      <c r="AM996" s="247"/>
      <c r="AN996" s="247"/>
      <c r="AO996" s="247"/>
      <c r="AP996" s="247"/>
      <c r="AQ996" s="247"/>
      <c r="AR996" s="247"/>
      <c r="AS996" s="247"/>
      <c r="AT996" s="247"/>
      <c r="AU996" s="247"/>
      <c r="AW996" s="116"/>
    </row>
    <row r="997" spans="39:49" ht="13.5" customHeight="1">
      <c r="AM997" s="247"/>
      <c r="AN997" s="247"/>
      <c r="AO997" s="247"/>
      <c r="AP997" s="247"/>
      <c r="AQ997" s="247"/>
      <c r="AR997" s="247"/>
      <c r="AS997" s="247"/>
      <c r="AT997" s="247"/>
      <c r="AU997" s="247"/>
      <c r="AW997" s="116"/>
    </row>
    <row r="998" spans="39:49" ht="24" customHeight="1">
      <c r="AM998" s="247"/>
      <c r="AN998" s="247"/>
      <c r="AO998" s="247"/>
      <c r="AP998" s="247"/>
      <c r="AQ998" s="247"/>
      <c r="AR998" s="247"/>
      <c r="AS998" s="247"/>
      <c r="AT998" s="247"/>
      <c r="AU998" s="247"/>
      <c r="AW998" s="116"/>
    </row>
    <row r="999" spans="39:49" ht="13.5" customHeight="1">
      <c r="AM999" s="247"/>
      <c r="AN999" s="247"/>
      <c r="AO999" s="247"/>
      <c r="AP999" s="247"/>
      <c r="AQ999" s="247"/>
      <c r="AR999" s="247"/>
      <c r="AS999" s="247"/>
      <c r="AT999" s="247"/>
      <c r="AU999" s="247"/>
      <c r="AW999" s="116"/>
    </row>
    <row r="1000" spans="39:49" ht="24" customHeight="1">
      <c r="AM1000" s="247"/>
      <c r="AN1000" s="247"/>
      <c r="AO1000" s="247"/>
      <c r="AP1000" s="247"/>
      <c r="AQ1000" s="247"/>
      <c r="AR1000" s="247"/>
      <c r="AS1000" s="247"/>
      <c r="AT1000" s="247"/>
      <c r="AU1000" s="247"/>
      <c r="AW1000" s="116"/>
    </row>
    <row r="1001" spans="39:49" ht="13.5" customHeight="1">
      <c r="AM1001" s="247"/>
      <c r="AN1001" s="247"/>
      <c r="AO1001" s="247"/>
      <c r="AP1001" s="247"/>
      <c r="AQ1001" s="247"/>
      <c r="AR1001" s="247"/>
      <c r="AS1001" s="247"/>
      <c r="AT1001" s="247"/>
      <c r="AU1001" s="247"/>
      <c r="AW1001" s="116"/>
    </row>
    <row r="1002" spans="39:49" ht="24" customHeight="1">
      <c r="AM1002" s="247"/>
      <c r="AN1002" s="247"/>
      <c r="AO1002" s="247"/>
      <c r="AP1002" s="247"/>
      <c r="AQ1002" s="247"/>
      <c r="AR1002" s="247"/>
      <c r="AS1002" s="247"/>
      <c r="AT1002" s="247"/>
      <c r="AU1002" s="247"/>
      <c r="AW1002" s="116"/>
    </row>
    <row r="1003" spans="39:49" ht="13.5" customHeight="1">
      <c r="AM1003" s="247"/>
      <c r="AN1003" s="247"/>
      <c r="AO1003" s="247"/>
      <c r="AP1003" s="247"/>
      <c r="AQ1003" s="247"/>
      <c r="AR1003" s="247"/>
      <c r="AS1003" s="247"/>
      <c r="AT1003" s="247"/>
      <c r="AU1003" s="247"/>
      <c r="AW1003" s="116"/>
    </row>
    <row r="1004" spans="39:49" ht="24" customHeight="1">
      <c r="AM1004" s="247"/>
      <c r="AN1004" s="247"/>
      <c r="AO1004" s="247"/>
      <c r="AP1004" s="247"/>
      <c r="AQ1004" s="247"/>
      <c r="AR1004" s="247"/>
      <c r="AS1004" s="247"/>
      <c r="AT1004" s="247"/>
      <c r="AU1004" s="247"/>
      <c r="AW1004" s="116"/>
    </row>
    <row r="1005" spans="39:49" ht="13.5" customHeight="1">
      <c r="AM1005" s="247"/>
      <c r="AN1005" s="247"/>
      <c r="AO1005" s="247"/>
      <c r="AP1005" s="247"/>
      <c r="AQ1005" s="247"/>
      <c r="AR1005" s="247"/>
      <c r="AS1005" s="247"/>
      <c r="AT1005" s="247"/>
      <c r="AU1005" s="247"/>
      <c r="AW1005" s="116"/>
    </row>
    <row r="1006" spans="39:49" ht="24" customHeight="1">
      <c r="AM1006" s="247"/>
      <c r="AN1006" s="247"/>
      <c r="AO1006" s="247"/>
      <c r="AP1006" s="247"/>
      <c r="AQ1006" s="247"/>
      <c r="AR1006" s="247"/>
      <c r="AS1006" s="247"/>
      <c r="AT1006" s="247"/>
      <c r="AU1006" s="247"/>
      <c r="AW1006" s="116"/>
    </row>
    <row r="1007" spans="39:49" ht="13.5" customHeight="1">
      <c r="AM1007" s="247"/>
      <c r="AN1007" s="247"/>
      <c r="AO1007" s="247"/>
      <c r="AP1007" s="247"/>
      <c r="AQ1007" s="247"/>
      <c r="AR1007" s="247"/>
      <c r="AS1007" s="247"/>
      <c r="AT1007" s="247"/>
      <c r="AU1007" s="247"/>
      <c r="AW1007" s="116"/>
    </row>
    <row r="1008" spans="39:49" ht="24" customHeight="1">
      <c r="AM1008" s="247"/>
      <c r="AN1008" s="247"/>
      <c r="AO1008" s="247"/>
      <c r="AP1008" s="247"/>
      <c r="AQ1008" s="247"/>
      <c r="AR1008" s="247"/>
      <c r="AS1008" s="247"/>
      <c r="AT1008" s="247"/>
      <c r="AU1008" s="247"/>
      <c r="AW1008" s="116"/>
    </row>
    <row r="1009" spans="39:49" ht="13.5" customHeight="1">
      <c r="AM1009" s="247"/>
      <c r="AN1009" s="247"/>
      <c r="AO1009" s="247"/>
      <c r="AP1009" s="247"/>
      <c r="AQ1009" s="247"/>
      <c r="AR1009" s="247"/>
      <c r="AS1009" s="247"/>
      <c r="AT1009" s="247"/>
      <c r="AU1009" s="247"/>
      <c r="AW1009" s="116"/>
    </row>
    <row r="1010" spans="39:49" ht="24" customHeight="1">
      <c r="AM1010" s="247"/>
      <c r="AN1010" s="247"/>
      <c r="AO1010" s="247"/>
      <c r="AP1010" s="247"/>
      <c r="AQ1010" s="247"/>
      <c r="AR1010" s="247"/>
      <c r="AS1010" s="247"/>
      <c r="AT1010" s="247"/>
      <c r="AU1010" s="247"/>
      <c r="AW1010" s="116"/>
    </row>
    <row r="1011" spans="39:49" ht="13.5" customHeight="1">
      <c r="AM1011" s="247"/>
      <c r="AN1011" s="247"/>
      <c r="AO1011" s="247"/>
      <c r="AP1011" s="247"/>
      <c r="AQ1011" s="247"/>
      <c r="AR1011" s="247"/>
      <c r="AS1011" s="247"/>
      <c r="AT1011" s="247"/>
      <c r="AU1011" s="247"/>
      <c r="AW1011" s="116"/>
    </row>
    <row r="1012" spans="39:49" ht="24" customHeight="1">
      <c r="AM1012" s="247"/>
      <c r="AN1012" s="247"/>
      <c r="AO1012" s="247"/>
      <c r="AP1012" s="247"/>
      <c r="AQ1012" s="247"/>
      <c r="AR1012" s="247"/>
      <c r="AS1012" s="247"/>
      <c r="AT1012" s="247"/>
      <c r="AU1012" s="247"/>
      <c r="AW1012" s="116"/>
    </row>
    <row r="1013" spans="39:49" ht="13.5" customHeight="1">
      <c r="AM1013" s="247"/>
      <c r="AN1013" s="247"/>
      <c r="AO1013" s="247"/>
      <c r="AP1013" s="247"/>
      <c r="AQ1013" s="247"/>
      <c r="AR1013" s="247"/>
      <c r="AS1013" s="247"/>
      <c r="AT1013" s="247"/>
      <c r="AU1013" s="247"/>
      <c r="AW1013" s="116"/>
    </row>
    <row r="1014" spans="39:49" ht="24" customHeight="1">
      <c r="AM1014" s="247"/>
      <c r="AN1014" s="247"/>
      <c r="AO1014" s="247"/>
      <c r="AP1014" s="247"/>
      <c r="AQ1014" s="247"/>
      <c r="AR1014" s="247"/>
      <c r="AS1014" s="247"/>
      <c r="AT1014" s="247"/>
      <c r="AU1014" s="247"/>
      <c r="AW1014" s="116"/>
    </row>
    <row r="1015" spans="39:49" ht="13.5" customHeight="1">
      <c r="AM1015" s="247"/>
      <c r="AN1015" s="247"/>
      <c r="AO1015" s="247"/>
      <c r="AP1015" s="247"/>
      <c r="AQ1015" s="247"/>
      <c r="AR1015" s="247"/>
      <c r="AS1015" s="247"/>
      <c r="AT1015" s="247"/>
      <c r="AU1015" s="247"/>
      <c r="AW1015" s="116"/>
    </row>
    <row r="1016" spans="39:49" ht="24" customHeight="1">
      <c r="AM1016" s="247"/>
      <c r="AN1016" s="247"/>
      <c r="AO1016" s="247"/>
      <c r="AP1016" s="247"/>
      <c r="AQ1016" s="247"/>
      <c r="AR1016" s="247"/>
      <c r="AS1016" s="247"/>
      <c r="AT1016" s="247"/>
      <c r="AU1016" s="247"/>
      <c r="AW1016" s="116"/>
    </row>
    <row r="1017" spans="39:49" ht="13.5" customHeight="1">
      <c r="AM1017" s="247"/>
      <c r="AN1017" s="247"/>
      <c r="AO1017" s="247"/>
      <c r="AP1017" s="247"/>
      <c r="AQ1017" s="247"/>
      <c r="AR1017" s="247"/>
      <c r="AS1017" s="247"/>
      <c r="AT1017" s="247"/>
      <c r="AU1017" s="247"/>
      <c r="AW1017" s="116"/>
    </row>
    <row r="1018" spans="39:49" ht="24" customHeight="1">
      <c r="AM1018" s="247"/>
      <c r="AN1018" s="247"/>
      <c r="AO1018" s="247"/>
      <c r="AP1018" s="247"/>
      <c r="AQ1018" s="247"/>
      <c r="AR1018" s="247"/>
      <c r="AS1018" s="247"/>
      <c r="AT1018" s="247"/>
      <c r="AU1018" s="247"/>
      <c r="AW1018" s="116"/>
    </row>
    <row r="1019" spans="39:49" ht="13.5" customHeight="1">
      <c r="AM1019" s="247"/>
      <c r="AN1019" s="247"/>
      <c r="AO1019" s="247"/>
      <c r="AP1019" s="247"/>
      <c r="AQ1019" s="247"/>
      <c r="AR1019" s="247"/>
      <c r="AS1019" s="247"/>
      <c r="AT1019" s="247"/>
      <c r="AU1019" s="247"/>
      <c r="AW1019" s="116"/>
    </row>
    <row r="1020" spans="39:49" ht="24" customHeight="1">
      <c r="AM1020" s="247"/>
      <c r="AN1020" s="247"/>
      <c r="AO1020" s="247"/>
      <c r="AP1020" s="247"/>
      <c r="AQ1020" s="247"/>
      <c r="AR1020" s="247"/>
      <c r="AS1020" s="247"/>
      <c r="AT1020" s="247"/>
      <c r="AU1020" s="247"/>
      <c r="AW1020" s="116"/>
    </row>
    <row r="1021" spans="39:49" ht="13.5" customHeight="1">
      <c r="AM1021" s="247"/>
      <c r="AN1021" s="247"/>
      <c r="AO1021" s="247"/>
      <c r="AP1021" s="247"/>
      <c r="AQ1021" s="247"/>
      <c r="AR1021" s="247"/>
      <c r="AS1021" s="247"/>
      <c r="AT1021" s="247"/>
      <c r="AU1021" s="247"/>
      <c r="AW1021" s="116"/>
    </row>
    <row r="1022" spans="39:49" ht="24" customHeight="1">
      <c r="AM1022" s="247"/>
      <c r="AN1022" s="247"/>
      <c r="AO1022" s="247"/>
      <c r="AP1022" s="247"/>
      <c r="AQ1022" s="247"/>
      <c r="AR1022" s="247"/>
      <c r="AS1022" s="247"/>
      <c r="AT1022" s="247"/>
      <c r="AU1022" s="247"/>
      <c r="AW1022" s="116"/>
    </row>
    <row r="1023" spans="39:49" ht="13.5" customHeight="1">
      <c r="AM1023" s="247"/>
      <c r="AN1023" s="247"/>
      <c r="AO1023" s="247"/>
      <c r="AP1023" s="247"/>
      <c r="AQ1023" s="247"/>
      <c r="AR1023" s="247"/>
      <c r="AS1023" s="247"/>
      <c r="AT1023" s="247"/>
      <c r="AU1023" s="247"/>
      <c r="AW1023" s="116"/>
    </row>
    <row r="1024" spans="39:49" ht="24" customHeight="1">
      <c r="AM1024" s="247"/>
      <c r="AN1024" s="247"/>
      <c r="AO1024" s="247"/>
      <c r="AP1024" s="247"/>
      <c r="AQ1024" s="247"/>
      <c r="AR1024" s="247"/>
      <c r="AS1024" s="247"/>
      <c r="AT1024" s="247"/>
      <c r="AU1024" s="247"/>
      <c r="AW1024" s="116"/>
    </row>
    <row r="1025" spans="39:49" ht="13.5" customHeight="1">
      <c r="AM1025" s="247"/>
      <c r="AN1025" s="247"/>
      <c r="AO1025" s="247"/>
      <c r="AP1025" s="247"/>
      <c r="AQ1025" s="247"/>
      <c r="AR1025" s="247"/>
      <c r="AS1025" s="247"/>
      <c r="AT1025" s="247"/>
      <c r="AU1025" s="247"/>
      <c r="AW1025" s="116"/>
    </row>
    <row r="1026" spans="39:49" ht="24" customHeight="1">
      <c r="AM1026" s="247"/>
      <c r="AN1026" s="247"/>
      <c r="AO1026" s="247"/>
      <c r="AP1026" s="247"/>
      <c r="AQ1026" s="247"/>
      <c r="AR1026" s="247"/>
      <c r="AS1026" s="247"/>
      <c r="AT1026" s="247"/>
      <c r="AU1026" s="247"/>
      <c r="AW1026" s="116"/>
    </row>
    <row r="1027" spans="39:49" ht="13.5" customHeight="1">
      <c r="AM1027" s="247"/>
      <c r="AN1027" s="247"/>
      <c r="AO1027" s="247"/>
      <c r="AP1027" s="247"/>
      <c r="AQ1027" s="247"/>
      <c r="AR1027" s="247"/>
      <c r="AS1027" s="247"/>
      <c r="AT1027" s="247"/>
      <c r="AU1027" s="247"/>
      <c r="AW1027" s="116"/>
    </row>
    <row r="1028" spans="39:49" ht="24" customHeight="1">
      <c r="AM1028" s="247"/>
      <c r="AN1028" s="247"/>
      <c r="AO1028" s="247"/>
      <c r="AP1028" s="247"/>
      <c r="AQ1028" s="247"/>
      <c r="AR1028" s="247"/>
      <c r="AS1028" s="247"/>
      <c r="AT1028" s="247"/>
      <c r="AU1028" s="247"/>
      <c r="AW1028" s="116"/>
    </row>
    <row r="1029" spans="39:49" ht="13.5" customHeight="1">
      <c r="AM1029" s="247"/>
      <c r="AN1029" s="247"/>
      <c r="AO1029" s="247"/>
      <c r="AP1029" s="247"/>
      <c r="AQ1029" s="247"/>
      <c r="AR1029" s="247"/>
      <c r="AS1029" s="247"/>
      <c r="AT1029" s="247"/>
      <c r="AU1029" s="247"/>
      <c r="AW1029" s="116"/>
    </row>
    <row r="1030" spans="39:49" ht="24" customHeight="1">
      <c r="AM1030" s="247"/>
      <c r="AN1030" s="247"/>
      <c r="AO1030" s="247"/>
      <c r="AP1030" s="247"/>
      <c r="AQ1030" s="247"/>
      <c r="AR1030" s="247"/>
      <c r="AS1030" s="247"/>
      <c r="AT1030" s="247"/>
      <c r="AU1030" s="247"/>
      <c r="AW1030" s="116"/>
    </row>
    <row r="1031" spans="39:49" ht="13.5" customHeight="1">
      <c r="AM1031" s="247"/>
      <c r="AN1031" s="247"/>
      <c r="AO1031" s="247"/>
      <c r="AP1031" s="247"/>
      <c r="AQ1031" s="247"/>
      <c r="AR1031" s="247"/>
      <c r="AS1031" s="247"/>
      <c r="AT1031" s="247"/>
      <c r="AU1031" s="247"/>
      <c r="AW1031" s="116"/>
    </row>
    <row r="1032" spans="39:49" ht="24" customHeight="1">
      <c r="AM1032" s="247"/>
      <c r="AN1032" s="247"/>
      <c r="AO1032" s="247"/>
      <c r="AP1032" s="247"/>
      <c r="AQ1032" s="247"/>
      <c r="AR1032" s="247"/>
      <c r="AS1032" s="247"/>
      <c r="AT1032" s="247"/>
      <c r="AU1032" s="247"/>
      <c r="AW1032" s="116"/>
    </row>
    <row r="1033" spans="39:49" ht="13.5" customHeight="1">
      <c r="AM1033" s="247"/>
      <c r="AN1033" s="247"/>
      <c r="AO1033" s="247"/>
      <c r="AP1033" s="247"/>
      <c r="AQ1033" s="247"/>
      <c r="AR1033" s="247"/>
      <c r="AS1033" s="247"/>
      <c r="AT1033" s="247"/>
      <c r="AU1033" s="247"/>
      <c r="AW1033" s="116"/>
    </row>
    <row r="1034" spans="39:49" ht="24" customHeight="1">
      <c r="AM1034" s="247"/>
      <c r="AN1034" s="247"/>
      <c r="AO1034" s="247"/>
      <c r="AP1034" s="247"/>
      <c r="AQ1034" s="247"/>
      <c r="AR1034" s="247"/>
      <c r="AS1034" s="247"/>
      <c r="AT1034" s="247"/>
      <c r="AU1034" s="247"/>
      <c r="AW1034" s="116"/>
    </row>
    <row r="1035" spans="39:49" ht="13.5" customHeight="1">
      <c r="AM1035" s="247"/>
      <c r="AN1035" s="247"/>
      <c r="AO1035" s="247"/>
      <c r="AP1035" s="247"/>
      <c r="AQ1035" s="247"/>
      <c r="AR1035" s="247"/>
      <c r="AS1035" s="247"/>
      <c r="AT1035" s="247"/>
      <c r="AU1035" s="247"/>
      <c r="AW1035" s="116"/>
    </row>
    <row r="1036" spans="39:49" ht="24" customHeight="1">
      <c r="AM1036" s="247"/>
      <c r="AN1036" s="247"/>
      <c r="AO1036" s="247"/>
      <c r="AP1036" s="247"/>
      <c r="AQ1036" s="247"/>
      <c r="AR1036" s="247"/>
      <c r="AS1036" s="247"/>
      <c r="AT1036" s="247"/>
      <c r="AU1036" s="247"/>
      <c r="AW1036" s="116"/>
    </row>
    <row r="1037" spans="39:49" ht="13.5" customHeight="1">
      <c r="AM1037" s="247"/>
      <c r="AN1037" s="247"/>
      <c r="AO1037" s="247"/>
      <c r="AP1037" s="247"/>
      <c r="AQ1037" s="247"/>
      <c r="AR1037" s="247"/>
      <c r="AS1037" s="247"/>
      <c r="AT1037" s="247"/>
      <c r="AU1037" s="247"/>
      <c r="AW1037" s="116"/>
    </row>
    <row r="1038" spans="39:49" ht="24" customHeight="1">
      <c r="AM1038" s="247"/>
      <c r="AN1038" s="247"/>
      <c r="AO1038" s="247"/>
      <c r="AP1038" s="247"/>
      <c r="AQ1038" s="247"/>
      <c r="AR1038" s="247"/>
      <c r="AS1038" s="247"/>
      <c r="AT1038" s="247"/>
      <c r="AU1038" s="247"/>
      <c r="AW1038" s="116"/>
    </row>
    <row r="1039" spans="39:49" ht="13.5" customHeight="1">
      <c r="AM1039" s="247"/>
      <c r="AN1039" s="247"/>
      <c r="AO1039" s="247"/>
      <c r="AP1039" s="247"/>
      <c r="AQ1039" s="247"/>
      <c r="AR1039" s="247"/>
      <c r="AS1039" s="247"/>
      <c r="AT1039" s="247"/>
      <c r="AU1039" s="247"/>
      <c r="AW1039" s="116"/>
    </row>
    <row r="1040" spans="39:49" ht="24" customHeight="1">
      <c r="AM1040" s="247"/>
      <c r="AN1040" s="247"/>
      <c r="AO1040" s="247"/>
      <c r="AP1040" s="247"/>
      <c r="AQ1040" s="247"/>
      <c r="AR1040" s="247"/>
      <c r="AS1040" s="247"/>
      <c r="AT1040" s="247"/>
      <c r="AU1040" s="247"/>
      <c r="AW1040" s="116"/>
    </row>
    <row r="1041" spans="39:49" ht="13.5" customHeight="1">
      <c r="AM1041" s="247"/>
      <c r="AN1041" s="247"/>
      <c r="AO1041" s="247"/>
      <c r="AP1041" s="247"/>
      <c r="AQ1041" s="247"/>
      <c r="AR1041" s="247"/>
      <c r="AS1041" s="247"/>
      <c r="AT1041" s="247"/>
      <c r="AU1041" s="247"/>
      <c r="AW1041" s="116"/>
    </row>
    <row r="1042" spans="39:49" ht="24" customHeight="1">
      <c r="AM1042" s="247"/>
      <c r="AN1042" s="247"/>
      <c r="AO1042" s="247"/>
      <c r="AP1042" s="247"/>
      <c r="AQ1042" s="247"/>
      <c r="AR1042" s="247"/>
      <c r="AS1042" s="247"/>
      <c r="AT1042" s="247"/>
      <c r="AU1042" s="247"/>
      <c r="AW1042" s="116"/>
    </row>
    <row r="1043" spans="39:49" ht="13.5" customHeight="1">
      <c r="AM1043" s="247"/>
      <c r="AN1043" s="247"/>
      <c r="AO1043" s="247"/>
      <c r="AP1043" s="247"/>
      <c r="AQ1043" s="247"/>
      <c r="AR1043" s="247"/>
      <c r="AS1043" s="247"/>
      <c r="AT1043" s="247"/>
      <c r="AU1043" s="247"/>
      <c r="AW1043" s="116"/>
    </row>
    <row r="1044" spans="39:49" ht="24" customHeight="1">
      <c r="AM1044" s="247"/>
      <c r="AN1044" s="247"/>
      <c r="AO1044" s="247"/>
      <c r="AP1044" s="247"/>
      <c r="AQ1044" s="247"/>
      <c r="AR1044" s="247"/>
      <c r="AS1044" s="247"/>
      <c r="AT1044" s="247"/>
      <c r="AU1044" s="247"/>
      <c r="AW1044" s="116"/>
    </row>
    <row r="1045" spans="39:49" ht="13.5" customHeight="1">
      <c r="AM1045" s="247"/>
      <c r="AN1045" s="247"/>
      <c r="AO1045" s="247"/>
      <c r="AP1045" s="247"/>
      <c r="AQ1045" s="247"/>
      <c r="AR1045" s="247"/>
      <c r="AS1045" s="247"/>
      <c r="AT1045" s="247"/>
      <c r="AU1045" s="247"/>
      <c r="AW1045" s="116"/>
    </row>
    <row r="1046" spans="39:49" ht="24" customHeight="1">
      <c r="AM1046" s="247"/>
      <c r="AN1046" s="247"/>
      <c r="AO1046" s="247"/>
      <c r="AP1046" s="247"/>
      <c r="AQ1046" s="247"/>
      <c r="AR1046" s="247"/>
      <c r="AS1046" s="247"/>
      <c r="AT1046" s="247"/>
      <c r="AU1046" s="247"/>
      <c r="AW1046" s="116"/>
    </row>
    <row r="1047" spans="39:49" ht="13.5" customHeight="1">
      <c r="AM1047" s="247"/>
      <c r="AN1047" s="247"/>
      <c r="AO1047" s="247"/>
      <c r="AP1047" s="247"/>
      <c r="AQ1047" s="247"/>
      <c r="AR1047" s="247"/>
      <c r="AS1047" s="247"/>
      <c r="AT1047" s="247"/>
      <c r="AU1047" s="247"/>
      <c r="AW1047" s="116"/>
    </row>
    <row r="1048" spans="39:49" ht="24" customHeight="1">
      <c r="AM1048" s="247"/>
      <c r="AN1048" s="247"/>
      <c r="AO1048" s="247"/>
      <c r="AP1048" s="247"/>
      <c r="AQ1048" s="247"/>
      <c r="AR1048" s="247"/>
      <c r="AS1048" s="247"/>
      <c r="AT1048" s="247"/>
      <c r="AU1048" s="247"/>
      <c r="AW1048" s="116"/>
    </row>
    <row r="1049" spans="39:49" ht="13.5" customHeight="1">
      <c r="AM1049" s="247"/>
      <c r="AN1049" s="247"/>
      <c r="AO1049" s="247"/>
      <c r="AP1049" s="247"/>
      <c r="AQ1049" s="247"/>
      <c r="AR1049" s="247"/>
      <c r="AS1049" s="247"/>
      <c r="AT1049" s="247"/>
      <c r="AU1049" s="247"/>
      <c r="AW1049" s="116"/>
    </row>
    <row r="1050" spans="39:49" ht="24" customHeight="1">
      <c r="AM1050" s="247"/>
      <c r="AN1050" s="247"/>
      <c r="AO1050" s="247"/>
      <c r="AP1050" s="247"/>
      <c r="AQ1050" s="247"/>
      <c r="AR1050" s="247"/>
      <c r="AS1050" s="247"/>
      <c r="AT1050" s="247"/>
      <c r="AU1050" s="247"/>
      <c r="AW1050" s="116"/>
    </row>
    <row r="1051" spans="39:49" ht="13.5" customHeight="1">
      <c r="AM1051" s="247"/>
      <c r="AN1051" s="247"/>
      <c r="AO1051" s="247"/>
      <c r="AP1051" s="247"/>
      <c r="AQ1051" s="247"/>
      <c r="AR1051" s="247"/>
      <c r="AS1051" s="247"/>
      <c r="AT1051" s="247"/>
      <c r="AU1051" s="247"/>
      <c r="AW1051" s="116"/>
    </row>
    <row r="1052" spans="39:49" ht="24" customHeight="1">
      <c r="AM1052" s="247"/>
      <c r="AN1052" s="247"/>
      <c r="AO1052" s="247"/>
      <c r="AP1052" s="247"/>
      <c r="AQ1052" s="247"/>
      <c r="AR1052" s="247"/>
      <c r="AS1052" s="247"/>
      <c r="AT1052" s="247"/>
      <c r="AU1052" s="247"/>
      <c r="AW1052" s="116"/>
    </row>
    <row r="1053" spans="39:49" ht="13.5" customHeight="1">
      <c r="AM1053" s="247"/>
      <c r="AN1053" s="247"/>
      <c r="AO1053" s="247"/>
      <c r="AP1053" s="247"/>
      <c r="AQ1053" s="247"/>
      <c r="AR1053" s="247"/>
      <c r="AS1053" s="247"/>
      <c r="AT1053" s="247"/>
      <c r="AU1053" s="247"/>
      <c r="AW1053" s="116"/>
    </row>
    <row r="1054" spans="39:49" ht="24" customHeight="1">
      <c r="AM1054" s="247"/>
      <c r="AN1054" s="247"/>
      <c r="AO1054" s="247"/>
      <c r="AP1054" s="247"/>
      <c r="AQ1054" s="247"/>
      <c r="AR1054" s="247"/>
      <c r="AS1054" s="247"/>
      <c r="AT1054" s="247"/>
      <c r="AU1054" s="247"/>
      <c r="AW1054" s="116"/>
    </row>
    <row r="1055" spans="39:49" ht="13.5" customHeight="1">
      <c r="AM1055" s="247"/>
      <c r="AN1055" s="247"/>
      <c r="AO1055" s="247"/>
      <c r="AP1055" s="247"/>
      <c r="AQ1055" s="247"/>
      <c r="AR1055" s="247"/>
      <c r="AS1055" s="247"/>
      <c r="AT1055" s="247"/>
      <c r="AU1055" s="247"/>
      <c r="AW1055" s="116"/>
    </row>
    <row r="1056" spans="39:49" ht="24" customHeight="1">
      <c r="AM1056" s="247"/>
      <c r="AN1056" s="247"/>
      <c r="AO1056" s="247"/>
      <c r="AP1056" s="247"/>
      <c r="AQ1056" s="247"/>
      <c r="AR1056" s="247"/>
      <c r="AS1056" s="247"/>
      <c r="AT1056" s="247"/>
      <c r="AU1056" s="247"/>
      <c r="AW1056" s="116"/>
    </row>
    <row r="1057" spans="39:49" ht="13.5" customHeight="1">
      <c r="AM1057" s="247"/>
      <c r="AN1057" s="247"/>
      <c r="AO1057" s="247"/>
      <c r="AP1057" s="247"/>
      <c r="AQ1057" s="247"/>
      <c r="AR1057" s="247"/>
      <c r="AS1057" s="247"/>
      <c r="AT1057" s="247"/>
      <c r="AU1057" s="247"/>
      <c r="AW1057" s="116"/>
    </row>
    <row r="1058" spans="39:49" ht="24" customHeight="1">
      <c r="AM1058" s="247"/>
      <c r="AN1058" s="247"/>
      <c r="AO1058" s="247"/>
      <c r="AP1058" s="247"/>
      <c r="AQ1058" s="247"/>
      <c r="AR1058" s="247"/>
      <c r="AS1058" s="247"/>
      <c r="AT1058" s="247"/>
      <c r="AU1058" s="247"/>
      <c r="AW1058" s="116"/>
    </row>
    <row r="1059" spans="39:49" ht="13.5" customHeight="1">
      <c r="AM1059" s="247"/>
      <c r="AN1059" s="247"/>
      <c r="AO1059" s="247"/>
      <c r="AP1059" s="247"/>
      <c r="AQ1059" s="247"/>
      <c r="AR1059" s="247"/>
      <c r="AS1059" s="247"/>
      <c r="AT1059" s="247"/>
      <c r="AU1059" s="247"/>
      <c r="AW1059" s="116"/>
    </row>
    <row r="1060" spans="39:49" ht="24" customHeight="1">
      <c r="AM1060" s="247"/>
      <c r="AN1060" s="247"/>
      <c r="AO1060" s="247"/>
      <c r="AP1060" s="247"/>
      <c r="AQ1060" s="247"/>
      <c r="AR1060" s="247"/>
      <c r="AS1060" s="247"/>
      <c r="AT1060" s="247"/>
      <c r="AU1060" s="247"/>
      <c r="AW1060" s="116"/>
    </row>
    <row r="1061" spans="39:49" ht="13.5" customHeight="1">
      <c r="AM1061" s="247"/>
      <c r="AN1061" s="247"/>
      <c r="AO1061" s="247"/>
      <c r="AP1061" s="247"/>
      <c r="AQ1061" s="247"/>
      <c r="AR1061" s="247"/>
      <c r="AS1061" s="247"/>
      <c r="AT1061" s="247"/>
      <c r="AU1061" s="247"/>
      <c r="AW1061" s="116"/>
    </row>
    <row r="1062" spans="39:49" ht="24" customHeight="1">
      <c r="AM1062" s="247"/>
      <c r="AN1062" s="247"/>
      <c r="AO1062" s="247"/>
      <c r="AP1062" s="247"/>
      <c r="AQ1062" s="247"/>
      <c r="AR1062" s="247"/>
      <c r="AS1062" s="247"/>
      <c r="AT1062" s="247"/>
      <c r="AU1062" s="247"/>
      <c r="AW1062" s="116"/>
    </row>
    <row r="1063" spans="39:49" ht="13.5" customHeight="1">
      <c r="AM1063" s="247"/>
      <c r="AN1063" s="247"/>
      <c r="AO1063" s="247"/>
      <c r="AP1063" s="247"/>
      <c r="AQ1063" s="247"/>
      <c r="AR1063" s="247"/>
      <c r="AS1063" s="247"/>
      <c r="AT1063" s="247"/>
      <c r="AU1063" s="247"/>
      <c r="AW1063" s="116"/>
    </row>
    <row r="1064" spans="39:49" ht="24" customHeight="1">
      <c r="AM1064" s="247"/>
      <c r="AN1064" s="247"/>
      <c r="AO1064" s="247"/>
      <c r="AP1064" s="247"/>
      <c r="AQ1064" s="247"/>
      <c r="AR1064" s="247"/>
      <c r="AS1064" s="247"/>
      <c r="AT1064" s="247"/>
      <c r="AU1064" s="247"/>
      <c r="AW1064" s="116"/>
    </row>
    <row r="1065" spans="39:49" ht="13.5" customHeight="1">
      <c r="AM1065" s="247"/>
      <c r="AN1065" s="247"/>
      <c r="AO1065" s="247"/>
      <c r="AP1065" s="247"/>
      <c r="AQ1065" s="247"/>
      <c r="AR1065" s="247"/>
      <c r="AS1065" s="247"/>
      <c r="AT1065" s="247"/>
      <c r="AU1065" s="247"/>
      <c r="AW1065" s="116"/>
    </row>
    <row r="1066" spans="39:49" ht="24" customHeight="1">
      <c r="AM1066" s="247"/>
      <c r="AN1066" s="247"/>
      <c r="AO1066" s="247"/>
      <c r="AP1066" s="247"/>
      <c r="AQ1066" s="247"/>
      <c r="AR1066" s="247"/>
      <c r="AS1066" s="247"/>
      <c r="AT1066" s="247"/>
      <c r="AU1066" s="247"/>
      <c r="AW1066" s="116"/>
    </row>
    <row r="1067" spans="39:49" ht="13.5" customHeight="1">
      <c r="AM1067" s="247"/>
      <c r="AN1067" s="247"/>
      <c r="AO1067" s="247"/>
      <c r="AP1067" s="247"/>
      <c r="AQ1067" s="247"/>
      <c r="AR1067" s="247"/>
      <c r="AS1067" s="247"/>
      <c r="AT1067" s="247"/>
      <c r="AU1067" s="247"/>
      <c r="AW1067" s="116"/>
    </row>
    <row r="1068" spans="39:49" ht="24" customHeight="1">
      <c r="AM1068" s="247"/>
      <c r="AN1068" s="247"/>
      <c r="AO1068" s="247"/>
      <c r="AP1068" s="247"/>
      <c r="AQ1068" s="247"/>
      <c r="AR1068" s="247"/>
      <c r="AS1068" s="247"/>
      <c r="AT1068" s="247"/>
      <c r="AU1068" s="247"/>
      <c r="AW1068" s="116"/>
    </row>
    <row r="1069" spans="39:49" ht="13.5" customHeight="1">
      <c r="AM1069" s="247"/>
      <c r="AN1069" s="247"/>
      <c r="AO1069" s="247"/>
      <c r="AP1069" s="247"/>
      <c r="AQ1069" s="247"/>
      <c r="AR1069" s="247"/>
      <c r="AS1069" s="247"/>
      <c r="AT1069" s="247"/>
      <c r="AU1069" s="247"/>
      <c r="AW1069" s="116"/>
    </row>
    <row r="1070" spans="39:49" ht="24" customHeight="1">
      <c r="AM1070" s="247"/>
      <c r="AN1070" s="247"/>
      <c r="AO1070" s="247"/>
      <c r="AP1070" s="247"/>
      <c r="AQ1070" s="247"/>
      <c r="AR1070" s="247"/>
      <c r="AS1070" s="247"/>
      <c r="AT1070" s="247"/>
      <c r="AU1070" s="247"/>
      <c r="AW1070" s="116"/>
    </row>
    <row r="1071" spans="39:49" ht="13.5" customHeight="1">
      <c r="AM1071" s="247"/>
      <c r="AN1071" s="247"/>
      <c r="AO1071" s="247"/>
      <c r="AP1071" s="247"/>
      <c r="AQ1071" s="247"/>
      <c r="AR1071" s="247"/>
      <c r="AS1071" s="247"/>
      <c r="AT1071" s="247"/>
      <c r="AU1071" s="247"/>
      <c r="AW1071" s="116"/>
    </row>
    <row r="1072" spans="39:49" ht="24" customHeight="1">
      <c r="AM1072" s="247"/>
      <c r="AN1072" s="247"/>
      <c r="AO1072" s="247"/>
      <c r="AP1072" s="247"/>
      <c r="AQ1072" s="247"/>
      <c r="AR1072" s="247"/>
      <c r="AS1072" s="247"/>
      <c r="AT1072" s="247"/>
      <c r="AU1072" s="247"/>
      <c r="AW1072" s="116"/>
    </row>
    <row r="1073" spans="39:49" ht="13.5" customHeight="1">
      <c r="AM1073" s="247"/>
      <c r="AN1073" s="247"/>
      <c r="AO1073" s="247"/>
      <c r="AP1073" s="247"/>
      <c r="AQ1073" s="247"/>
      <c r="AR1073" s="247"/>
      <c r="AS1073" s="247"/>
      <c r="AT1073" s="247"/>
      <c r="AU1073" s="247"/>
      <c r="AW1073" s="116"/>
    </row>
    <row r="1074" spans="39:49" ht="24" customHeight="1">
      <c r="AM1074" s="247"/>
      <c r="AN1074" s="247"/>
      <c r="AO1074" s="247"/>
      <c r="AP1074" s="247"/>
      <c r="AQ1074" s="247"/>
      <c r="AR1074" s="247"/>
      <c r="AS1074" s="247"/>
      <c r="AT1074" s="247"/>
      <c r="AU1074" s="247"/>
      <c r="AW1074" s="116"/>
    </row>
    <row r="1075" spans="39:49" ht="13.5" customHeight="1">
      <c r="AM1075" s="247"/>
      <c r="AN1075" s="247"/>
      <c r="AO1075" s="247"/>
      <c r="AP1075" s="247"/>
      <c r="AQ1075" s="247"/>
      <c r="AR1075" s="247"/>
      <c r="AS1075" s="247"/>
      <c r="AT1075" s="247"/>
      <c r="AU1075" s="247"/>
      <c r="AW1075" s="116"/>
    </row>
    <row r="1076" spans="39:49" ht="24" customHeight="1">
      <c r="AM1076" s="247"/>
      <c r="AN1076" s="247"/>
      <c r="AO1076" s="247"/>
      <c r="AP1076" s="247"/>
      <c r="AQ1076" s="247"/>
      <c r="AR1076" s="247"/>
      <c r="AS1076" s="247"/>
      <c r="AT1076" s="247"/>
      <c r="AU1076" s="247"/>
      <c r="AW1076" s="116"/>
    </row>
    <row r="1077" spans="39:49" ht="13.5" customHeight="1">
      <c r="AM1077" s="247"/>
      <c r="AN1077" s="247"/>
      <c r="AO1077" s="247"/>
      <c r="AP1077" s="247"/>
      <c r="AQ1077" s="247"/>
      <c r="AR1077" s="247"/>
      <c r="AS1077" s="247"/>
      <c r="AT1077" s="247"/>
      <c r="AU1077" s="247"/>
      <c r="AW1077" s="116"/>
    </row>
    <row r="1078" spans="39:49" ht="24" customHeight="1">
      <c r="AM1078" s="247"/>
      <c r="AN1078" s="247"/>
      <c r="AO1078" s="247"/>
      <c r="AP1078" s="247"/>
      <c r="AQ1078" s="247"/>
      <c r="AR1078" s="247"/>
      <c r="AS1078" s="247"/>
      <c r="AT1078" s="247"/>
      <c r="AU1078" s="247"/>
      <c r="AW1078" s="116"/>
    </row>
    <row r="1079" spans="39:49" ht="13.5" customHeight="1">
      <c r="AM1079" s="247"/>
      <c r="AN1079" s="247"/>
      <c r="AO1079" s="247"/>
      <c r="AP1079" s="247"/>
      <c r="AQ1079" s="247"/>
      <c r="AR1079" s="247"/>
      <c r="AS1079" s="247"/>
      <c r="AT1079" s="247"/>
      <c r="AU1079" s="247"/>
      <c r="AW1079" s="116"/>
    </row>
    <row r="1080" spans="39:49" ht="24" customHeight="1">
      <c r="AM1080" s="247"/>
      <c r="AN1080" s="247"/>
      <c r="AO1080" s="247"/>
      <c r="AP1080" s="247"/>
      <c r="AQ1080" s="247"/>
      <c r="AR1080" s="247"/>
      <c r="AS1080" s="247"/>
      <c r="AT1080" s="247"/>
      <c r="AU1080" s="247"/>
      <c r="AW1080" s="116"/>
    </row>
    <row r="1081" spans="39:49" ht="13.5" customHeight="1">
      <c r="AM1081" s="247"/>
      <c r="AN1081" s="247"/>
      <c r="AO1081" s="247"/>
      <c r="AP1081" s="247"/>
      <c r="AQ1081" s="247"/>
      <c r="AR1081" s="247"/>
      <c r="AS1081" s="247"/>
      <c r="AT1081" s="247"/>
      <c r="AU1081" s="247"/>
      <c r="AW1081" s="116"/>
    </row>
    <row r="1082" spans="39:49" ht="24" customHeight="1">
      <c r="AM1082" s="247"/>
      <c r="AN1082" s="247"/>
      <c r="AO1082" s="247"/>
      <c r="AP1082" s="247"/>
      <c r="AQ1082" s="247"/>
      <c r="AR1082" s="247"/>
      <c r="AS1082" s="247"/>
      <c r="AT1082" s="247"/>
      <c r="AU1082" s="247"/>
      <c r="AW1082" s="116"/>
    </row>
    <row r="1083" spans="39:49" ht="13.5" customHeight="1">
      <c r="AM1083" s="247"/>
      <c r="AN1083" s="247"/>
      <c r="AO1083" s="247"/>
      <c r="AP1083" s="247"/>
      <c r="AQ1083" s="247"/>
      <c r="AR1083" s="247"/>
      <c r="AS1083" s="247"/>
      <c r="AT1083" s="247"/>
      <c r="AU1083" s="247"/>
      <c r="AW1083" s="116"/>
    </row>
    <row r="1084" spans="39:49" ht="24" customHeight="1">
      <c r="AM1084" s="247"/>
      <c r="AN1084" s="247"/>
      <c r="AO1084" s="247"/>
      <c r="AP1084" s="247"/>
      <c r="AQ1084" s="247"/>
      <c r="AR1084" s="247"/>
      <c r="AS1084" s="247"/>
      <c r="AT1084" s="247"/>
      <c r="AU1084" s="247"/>
      <c r="AW1084" s="116"/>
    </row>
    <row r="1085" spans="39:49" ht="13.5" customHeight="1">
      <c r="AM1085" s="247"/>
      <c r="AN1085" s="247"/>
      <c r="AO1085" s="247"/>
      <c r="AP1085" s="247"/>
      <c r="AQ1085" s="247"/>
      <c r="AR1085" s="247"/>
      <c r="AS1085" s="247"/>
      <c r="AT1085" s="247"/>
      <c r="AU1085" s="247"/>
      <c r="AW1085" s="116"/>
    </row>
    <row r="1086" spans="39:49" ht="24" customHeight="1">
      <c r="AM1086" s="247"/>
      <c r="AN1086" s="247"/>
      <c r="AO1086" s="247"/>
      <c r="AP1086" s="247"/>
      <c r="AQ1086" s="247"/>
      <c r="AR1086" s="247"/>
      <c r="AS1086" s="247"/>
      <c r="AT1086" s="247"/>
      <c r="AU1086" s="247"/>
      <c r="AW1086" s="116"/>
    </row>
    <row r="1087" spans="39:49" ht="13.5" customHeight="1">
      <c r="AM1087" s="247"/>
      <c r="AN1087" s="247"/>
      <c r="AO1087" s="247"/>
      <c r="AP1087" s="247"/>
      <c r="AQ1087" s="247"/>
      <c r="AR1087" s="247"/>
      <c r="AS1087" s="247"/>
      <c r="AT1087" s="247"/>
      <c r="AU1087" s="247"/>
      <c r="AW1087" s="116"/>
    </row>
    <row r="1088" spans="39:49" ht="24" customHeight="1">
      <c r="AM1088" s="247"/>
      <c r="AN1088" s="247"/>
      <c r="AO1088" s="247"/>
      <c r="AP1088" s="247"/>
      <c r="AQ1088" s="247"/>
      <c r="AR1088" s="247"/>
      <c r="AS1088" s="247"/>
      <c r="AT1088" s="247"/>
      <c r="AU1088" s="247"/>
      <c r="AW1088" s="116"/>
    </row>
    <row r="1089" spans="39:49" ht="13.5" customHeight="1">
      <c r="AM1089" s="247"/>
      <c r="AN1089" s="247"/>
      <c r="AO1089" s="247"/>
      <c r="AP1089" s="247"/>
      <c r="AQ1089" s="247"/>
      <c r="AR1089" s="247"/>
      <c r="AS1089" s="247"/>
      <c r="AT1089" s="247"/>
      <c r="AU1089" s="247"/>
      <c r="AW1089" s="116"/>
    </row>
    <row r="1090" spans="39:49" ht="24" customHeight="1">
      <c r="AM1090" s="247"/>
      <c r="AN1090" s="247"/>
      <c r="AO1090" s="247"/>
      <c r="AP1090" s="247"/>
      <c r="AQ1090" s="247"/>
      <c r="AR1090" s="247"/>
      <c r="AS1090" s="247"/>
      <c r="AT1090" s="247"/>
      <c r="AU1090" s="247"/>
      <c r="AW1090" s="116"/>
    </row>
    <row r="1091" spans="39:49" ht="13.5" customHeight="1">
      <c r="AM1091" s="247"/>
      <c r="AN1091" s="247"/>
      <c r="AO1091" s="247"/>
      <c r="AP1091" s="247"/>
      <c r="AQ1091" s="247"/>
      <c r="AR1091" s="247"/>
      <c r="AS1091" s="247"/>
      <c r="AT1091" s="247"/>
      <c r="AU1091" s="247"/>
      <c r="AW1091" s="116"/>
    </row>
    <row r="1092" spans="39:49" ht="24" customHeight="1">
      <c r="AM1092" s="247"/>
      <c r="AN1092" s="247"/>
      <c r="AO1092" s="247"/>
      <c r="AP1092" s="247"/>
      <c r="AQ1092" s="247"/>
      <c r="AR1092" s="247"/>
      <c r="AS1092" s="247"/>
      <c r="AT1092" s="247"/>
      <c r="AU1092" s="247"/>
      <c r="AW1092" s="116"/>
    </row>
    <row r="1093" spans="39:49" ht="13.5" customHeight="1">
      <c r="AM1093" s="247"/>
      <c r="AN1093" s="247"/>
      <c r="AO1093" s="247"/>
      <c r="AP1093" s="247"/>
      <c r="AQ1093" s="247"/>
      <c r="AR1093" s="247"/>
      <c r="AS1093" s="247"/>
      <c r="AT1093" s="247"/>
      <c r="AU1093" s="247"/>
      <c r="AW1093" s="116"/>
    </row>
    <row r="1094" spans="39:49" ht="24" customHeight="1">
      <c r="AM1094" s="247"/>
      <c r="AN1094" s="247"/>
      <c r="AO1094" s="247"/>
      <c r="AP1094" s="247"/>
      <c r="AQ1094" s="247"/>
      <c r="AR1094" s="247"/>
      <c r="AS1094" s="247"/>
      <c r="AT1094" s="247"/>
      <c r="AU1094" s="247"/>
      <c r="AW1094" s="116"/>
    </row>
    <row r="1095" spans="39:49" ht="13.5" customHeight="1">
      <c r="AM1095" s="247"/>
      <c r="AN1095" s="247"/>
      <c r="AO1095" s="247"/>
      <c r="AP1095" s="247"/>
      <c r="AQ1095" s="247"/>
      <c r="AR1095" s="247"/>
      <c r="AS1095" s="247"/>
      <c r="AT1095" s="247"/>
      <c r="AU1095" s="247"/>
      <c r="AW1095" s="116"/>
    </row>
    <row r="1096" spans="39:49" ht="24" customHeight="1">
      <c r="AM1096" s="247"/>
      <c r="AN1096" s="247"/>
      <c r="AO1096" s="247"/>
      <c r="AP1096" s="247"/>
      <c r="AQ1096" s="247"/>
      <c r="AR1096" s="247"/>
      <c r="AS1096" s="247"/>
      <c r="AT1096" s="247"/>
      <c r="AU1096" s="247"/>
      <c r="AW1096" s="116"/>
    </row>
    <row r="1097" spans="39:49" ht="13.5" customHeight="1">
      <c r="AM1097" s="247"/>
      <c r="AN1097" s="247"/>
      <c r="AO1097" s="247"/>
      <c r="AP1097" s="247"/>
      <c r="AQ1097" s="247"/>
      <c r="AR1097" s="247"/>
      <c r="AS1097" s="247"/>
      <c r="AT1097" s="247"/>
      <c r="AU1097" s="247"/>
      <c r="AW1097" s="116"/>
    </row>
    <row r="1098" spans="39:49" ht="24" customHeight="1">
      <c r="AM1098" s="247"/>
      <c r="AN1098" s="247"/>
      <c r="AO1098" s="247"/>
      <c r="AP1098" s="247"/>
      <c r="AQ1098" s="247"/>
      <c r="AR1098" s="247"/>
      <c r="AS1098" s="247"/>
      <c r="AT1098" s="247"/>
      <c r="AU1098" s="247"/>
      <c r="AW1098" s="116"/>
    </row>
    <row r="1099" spans="39:49" ht="13.5" customHeight="1">
      <c r="AM1099" s="247"/>
      <c r="AN1099" s="247"/>
      <c r="AO1099" s="247"/>
      <c r="AP1099" s="247"/>
      <c r="AQ1099" s="247"/>
      <c r="AR1099" s="247"/>
      <c r="AS1099" s="247"/>
      <c r="AT1099" s="247"/>
      <c r="AU1099" s="247"/>
      <c r="AW1099" s="116"/>
    </row>
    <row r="1100" spans="39:49" ht="24" customHeight="1">
      <c r="AM1100" s="247"/>
      <c r="AN1100" s="247"/>
      <c r="AO1100" s="247"/>
      <c r="AP1100" s="247"/>
      <c r="AQ1100" s="247"/>
      <c r="AR1100" s="247"/>
      <c r="AS1100" s="247"/>
      <c r="AT1100" s="247"/>
      <c r="AU1100" s="247"/>
      <c r="AW1100" s="116"/>
    </row>
    <row r="1101" spans="39:49" ht="13.5" customHeight="1">
      <c r="AM1101" s="247"/>
      <c r="AN1101" s="247"/>
      <c r="AO1101" s="247"/>
      <c r="AP1101" s="247"/>
      <c r="AQ1101" s="247"/>
      <c r="AR1101" s="247"/>
      <c r="AS1101" s="247"/>
      <c r="AT1101" s="247"/>
      <c r="AU1101" s="247"/>
      <c r="AW1101" s="116"/>
    </row>
    <row r="1102" spans="39:49" ht="24" customHeight="1">
      <c r="AM1102" s="247"/>
      <c r="AN1102" s="247"/>
      <c r="AO1102" s="247"/>
      <c r="AP1102" s="247"/>
      <c r="AQ1102" s="247"/>
      <c r="AR1102" s="247"/>
      <c r="AS1102" s="247"/>
      <c r="AT1102" s="247"/>
      <c r="AU1102" s="247"/>
      <c r="AW1102" s="116"/>
    </row>
    <row r="1103" spans="39:49" ht="13.5" customHeight="1">
      <c r="AM1103" s="247"/>
      <c r="AN1103" s="247"/>
      <c r="AO1103" s="247"/>
      <c r="AP1103" s="247"/>
      <c r="AQ1103" s="247"/>
      <c r="AR1103" s="247"/>
      <c r="AS1103" s="247"/>
      <c r="AT1103" s="247"/>
      <c r="AU1103" s="247"/>
      <c r="AW1103" s="116"/>
    </row>
    <row r="1104" spans="39:49" ht="24" customHeight="1">
      <c r="AM1104" s="247"/>
      <c r="AN1104" s="247"/>
      <c r="AO1104" s="247"/>
      <c r="AP1104" s="247"/>
      <c r="AQ1104" s="247"/>
      <c r="AR1104" s="247"/>
      <c r="AS1104" s="247"/>
      <c r="AT1104" s="247"/>
      <c r="AU1104" s="247"/>
      <c r="AW1104" s="116"/>
    </row>
    <row r="1105" spans="39:49" ht="13.5" customHeight="1">
      <c r="AM1105" s="247"/>
      <c r="AN1105" s="247"/>
      <c r="AO1105" s="247"/>
      <c r="AP1105" s="247"/>
      <c r="AQ1105" s="247"/>
      <c r="AR1105" s="247"/>
      <c r="AS1105" s="247"/>
      <c r="AT1105" s="247"/>
      <c r="AU1105" s="247"/>
      <c r="AW1105" s="116"/>
    </row>
    <row r="1106" spans="39:49" ht="24" customHeight="1">
      <c r="AM1106" s="247"/>
      <c r="AN1106" s="247"/>
      <c r="AO1106" s="247"/>
      <c r="AP1106" s="247"/>
      <c r="AQ1106" s="247"/>
      <c r="AR1106" s="247"/>
      <c r="AS1106" s="247"/>
      <c r="AT1106" s="247"/>
      <c r="AU1106" s="247"/>
      <c r="AW1106" s="116"/>
    </row>
    <row r="1107" spans="39:49" ht="13.5" customHeight="1">
      <c r="AM1107" s="247"/>
      <c r="AN1107" s="247"/>
      <c r="AO1107" s="247"/>
      <c r="AP1107" s="247"/>
      <c r="AQ1107" s="247"/>
      <c r="AR1107" s="247"/>
      <c r="AS1107" s="247"/>
      <c r="AT1107" s="247"/>
      <c r="AU1107" s="247"/>
      <c r="AW1107" s="116"/>
    </row>
    <row r="1108" spans="39:49" ht="24" customHeight="1">
      <c r="AM1108" s="247"/>
      <c r="AN1108" s="247"/>
      <c r="AO1108" s="247"/>
      <c r="AP1108" s="247"/>
      <c r="AQ1108" s="247"/>
      <c r="AR1108" s="247"/>
      <c r="AS1108" s="247"/>
      <c r="AT1108" s="247"/>
      <c r="AU1108" s="247"/>
      <c r="AW1108" s="116"/>
    </row>
    <row r="1109" spans="39:49" ht="13.5" customHeight="1">
      <c r="AM1109" s="247"/>
      <c r="AN1109" s="247"/>
      <c r="AO1109" s="247"/>
      <c r="AP1109" s="247"/>
      <c r="AQ1109" s="247"/>
      <c r="AR1109" s="247"/>
      <c r="AS1109" s="247"/>
      <c r="AT1109" s="247"/>
      <c r="AU1109" s="247"/>
      <c r="AW1109" s="116"/>
    </row>
    <row r="1110" spans="39:49" ht="24" customHeight="1">
      <c r="AM1110" s="247"/>
      <c r="AN1110" s="247"/>
      <c r="AO1110" s="247"/>
      <c r="AP1110" s="247"/>
      <c r="AQ1110" s="247"/>
      <c r="AR1110" s="247"/>
      <c r="AS1110" s="247"/>
      <c r="AT1110" s="247"/>
      <c r="AU1110" s="247"/>
      <c r="AW1110" s="116"/>
    </row>
    <row r="1111" spans="39:49" ht="13.5" customHeight="1">
      <c r="AM1111" s="247"/>
      <c r="AN1111" s="247"/>
      <c r="AO1111" s="247"/>
      <c r="AP1111" s="247"/>
      <c r="AQ1111" s="247"/>
      <c r="AR1111" s="247"/>
      <c r="AS1111" s="247"/>
      <c r="AT1111" s="247"/>
      <c r="AU1111" s="247"/>
      <c r="AW1111" s="116"/>
    </row>
    <row r="1112" spans="39:49" ht="24" customHeight="1">
      <c r="AM1112" s="247"/>
      <c r="AN1112" s="247"/>
      <c r="AO1112" s="247"/>
      <c r="AP1112" s="247"/>
      <c r="AQ1112" s="247"/>
      <c r="AR1112" s="247"/>
      <c r="AS1112" s="247"/>
      <c r="AT1112" s="247"/>
      <c r="AU1112" s="247"/>
      <c r="AW1112" s="116"/>
    </row>
    <row r="1113" spans="39:49" ht="13.5" customHeight="1">
      <c r="AM1113" s="247"/>
      <c r="AN1113" s="247"/>
      <c r="AO1113" s="247"/>
      <c r="AP1113" s="247"/>
      <c r="AQ1113" s="247"/>
      <c r="AR1113" s="247"/>
      <c r="AS1113" s="247"/>
      <c r="AT1113" s="247"/>
      <c r="AU1113" s="247"/>
      <c r="AW1113" s="116"/>
    </row>
    <row r="1114" spans="39:49" ht="24" customHeight="1">
      <c r="AM1114" s="247"/>
      <c r="AN1114" s="247"/>
      <c r="AO1114" s="247"/>
      <c r="AP1114" s="247"/>
      <c r="AQ1114" s="247"/>
      <c r="AR1114" s="247"/>
      <c r="AS1114" s="247"/>
      <c r="AT1114" s="247"/>
      <c r="AU1114" s="247"/>
      <c r="AW1114" s="116"/>
    </row>
    <row r="1115" spans="39:49" ht="13.5" customHeight="1">
      <c r="AM1115" s="247"/>
      <c r="AN1115" s="247"/>
      <c r="AO1115" s="247"/>
      <c r="AP1115" s="247"/>
      <c r="AQ1115" s="247"/>
      <c r="AR1115" s="247"/>
      <c r="AS1115" s="247"/>
      <c r="AT1115" s="247"/>
      <c r="AU1115" s="247"/>
      <c r="AW1115" s="116"/>
    </row>
    <row r="1116" spans="39:49" ht="24" customHeight="1">
      <c r="AM1116" s="247"/>
      <c r="AN1116" s="247"/>
      <c r="AO1116" s="247"/>
      <c r="AP1116" s="247"/>
      <c r="AQ1116" s="247"/>
      <c r="AR1116" s="247"/>
      <c r="AS1116" s="247"/>
      <c r="AT1116" s="247"/>
      <c r="AU1116" s="247"/>
      <c r="AW1116" s="116"/>
    </row>
    <row r="1117" spans="39:49" ht="13.5" customHeight="1">
      <c r="AM1117" s="247"/>
      <c r="AN1117" s="247"/>
      <c r="AO1117" s="247"/>
      <c r="AP1117" s="247"/>
      <c r="AQ1117" s="247"/>
      <c r="AR1117" s="247"/>
      <c r="AS1117" s="247"/>
      <c r="AT1117" s="247"/>
      <c r="AU1117" s="247"/>
      <c r="AW1117" s="116"/>
    </row>
    <row r="1118" spans="39:49" ht="24" customHeight="1">
      <c r="AM1118" s="247"/>
      <c r="AN1118" s="247"/>
      <c r="AO1118" s="247"/>
      <c r="AP1118" s="247"/>
      <c r="AQ1118" s="247"/>
      <c r="AR1118" s="247"/>
      <c r="AS1118" s="247"/>
      <c r="AT1118" s="247"/>
      <c r="AU1118" s="247"/>
      <c r="AW1118" s="116"/>
    </row>
    <row r="1119" spans="39:49" ht="13.5" customHeight="1">
      <c r="AM1119" s="247"/>
      <c r="AN1119" s="247"/>
      <c r="AO1119" s="247"/>
      <c r="AP1119" s="247"/>
      <c r="AQ1119" s="247"/>
      <c r="AR1119" s="247"/>
      <c r="AS1119" s="247"/>
      <c r="AT1119" s="247"/>
      <c r="AU1119" s="247"/>
      <c r="AW1119" s="116"/>
    </row>
    <row r="1120" spans="39:49" ht="24" customHeight="1">
      <c r="AM1120" s="247"/>
      <c r="AN1120" s="247"/>
      <c r="AO1120" s="247"/>
      <c r="AP1120" s="247"/>
      <c r="AQ1120" s="247"/>
      <c r="AR1120" s="247"/>
      <c r="AS1120" s="247"/>
      <c r="AT1120" s="247"/>
      <c r="AU1120" s="247"/>
      <c r="AW1120" s="116"/>
    </row>
    <row r="1121" spans="39:49" ht="13.5" customHeight="1">
      <c r="AM1121" s="247"/>
      <c r="AN1121" s="247"/>
      <c r="AO1121" s="247"/>
      <c r="AP1121" s="247"/>
      <c r="AQ1121" s="247"/>
      <c r="AR1121" s="247"/>
      <c r="AS1121" s="247"/>
      <c r="AT1121" s="247"/>
      <c r="AU1121" s="247"/>
      <c r="AW1121" s="116"/>
    </row>
    <row r="1122" spans="39:49" ht="24" customHeight="1">
      <c r="AM1122" s="247"/>
      <c r="AN1122" s="247"/>
      <c r="AO1122" s="247"/>
      <c r="AP1122" s="247"/>
      <c r="AQ1122" s="247"/>
      <c r="AR1122" s="247"/>
      <c r="AS1122" s="247"/>
      <c r="AT1122" s="247"/>
      <c r="AU1122" s="247"/>
      <c r="AW1122" s="116"/>
    </row>
    <row r="1123" spans="39:49" ht="13.5" customHeight="1">
      <c r="AM1123" s="247"/>
      <c r="AN1123" s="247"/>
      <c r="AO1123" s="247"/>
      <c r="AP1123" s="247"/>
      <c r="AQ1123" s="247"/>
      <c r="AR1123" s="247"/>
      <c r="AS1123" s="247"/>
      <c r="AT1123" s="247"/>
      <c r="AU1123" s="247"/>
      <c r="AW1123" s="116"/>
    </row>
    <row r="1124" spans="39:49" ht="24" customHeight="1">
      <c r="AM1124" s="247"/>
      <c r="AN1124" s="247"/>
      <c r="AO1124" s="247"/>
      <c r="AP1124" s="247"/>
      <c r="AQ1124" s="247"/>
      <c r="AR1124" s="247"/>
      <c r="AS1124" s="247"/>
      <c r="AT1124" s="247"/>
      <c r="AU1124" s="247"/>
      <c r="AW1124" s="116"/>
    </row>
    <row r="1125" spans="39:49" ht="13.5" customHeight="1">
      <c r="AM1125" s="247"/>
      <c r="AN1125" s="247"/>
      <c r="AO1125" s="247"/>
      <c r="AP1125" s="247"/>
      <c r="AQ1125" s="247"/>
      <c r="AR1125" s="247"/>
      <c r="AS1125" s="247"/>
      <c r="AT1125" s="247"/>
      <c r="AU1125" s="247"/>
      <c r="AW1125" s="116"/>
    </row>
    <row r="1126" spans="39:49" ht="24" customHeight="1">
      <c r="AM1126" s="247"/>
      <c r="AN1126" s="247"/>
      <c r="AO1126" s="247"/>
      <c r="AP1126" s="247"/>
      <c r="AQ1126" s="247"/>
      <c r="AR1126" s="247"/>
      <c r="AS1126" s="247"/>
      <c r="AT1126" s="247"/>
      <c r="AU1126" s="247"/>
      <c r="AW1126" s="116"/>
    </row>
    <row r="1127" spans="39:49" ht="13.5" customHeight="1">
      <c r="AM1127" s="247"/>
      <c r="AN1127" s="247"/>
      <c r="AO1127" s="247"/>
      <c r="AP1127" s="247"/>
      <c r="AQ1127" s="247"/>
      <c r="AR1127" s="247"/>
      <c r="AS1127" s="247"/>
      <c r="AT1127" s="247"/>
      <c r="AU1127" s="247"/>
      <c r="AW1127" s="116"/>
    </row>
    <row r="1128" spans="39:49" ht="24" customHeight="1">
      <c r="AM1128" s="247"/>
      <c r="AN1128" s="247"/>
      <c r="AO1128" s="247"/>
      <c r="AP1128" s="247"/>
      <c r="AQ1128" s="247"/>
      <c r="AR1128" s="247"/>
      <c r="AS1128" s="247"/>
      <c r="AT1128" s="247"/>
      <c r="AU1128" s="247"/>
      <c r="AW1128" s="116"/>
    </row>
    <row r="1129" spans="39:49" ht="13.5" customHeight="1">
      <c r="AM1129" s="247"/>
      <c r="AN1129" s="247"/>
      <c r="AO1129" s="247"/>
      <c r="AP1129" s="247"/>
      <c r="AQ1129" s="247"/>
      <c r="AR1129" s="247"/>
      <c r="AS1129" s="247"/>
      <c r="AT1129" s="247"/>
      <c r="AU1129" s="247"/>
      <c r="AW1129" s="116"/>
    </row>
    <row r="1130" spans="39:49" ht="24" customHeight="1">
      <c r="AM1130" s="247"/>
      <c r="AN1130" s="247"/>
      <c r="AO1130" s="247"/>
      <c r="AP1130" s="247"/>
      <c r="AQ1130" s="247"/>
      <c r="AR1130" s="247"/>
      <c r="AS1130" s="247"/>
      <c r="AT1130" s="247"/>
      <c r="AU1130" s="247"/>
      <c r="AW1130" s="116"/>
    </row>
    <row r="1131" spans="39:49" ht="13.5" customHeight="1">
      <c r="AM1131" s="247"/>
      <c r="AN1131" s="247"/>
      <c r="AO1131" s="247"/>
      <c r="AP1131" s="247"/>
      <c r="AQ1131" s="247"/>
      <c r="AR1131" s="247"/>
      <c r="AS1131" s="247"/>
      <c r="AT1131" s="247"/>
      <c r="AU1131" s="247"/>
      <c r="AW1131" s="116"/>
    </row>
    <row r="1132" spans="39:49" ht="24" customHeight="1">
      <c r="AM1132" s="247"/>
      <c r="AN1132" s="247"/>
      <c r="AO1132" s="247"/>
      <c r="AP1132" s="247"/>
      <c r="AQ1132" s="247"/>
      <c r="AR1132" s="247"/>
      <c r="AS1132" s="247"/>
      <c r="AT1132" s="247"/>
      <c r="AU1132" s="247"/>
      <c r="AW1132" s="116"/>
    </row>
    <row r="1133" spans="39:49" ht="13.5" customHeight="1">
      <c r="AM1133" s="247"/>
      <c r="AN1133" s="247"/>
      <c r="AO1133" s="247"/>
      <c r="AP1133" s="247"/>
      <c r="AQ1133" s="247"/>
      <c r="AR1133" s="247"/>
      <c r="AS1133" s="247"/>
      <c r="AT1133" s="247"/>
      <c r="AU1133" s="247"/>
      <c r="AW1133" s="116"/>
    </row>
    <row r="1134" spans="39:49" ht="24" customHeight="1">
      <c r="AM1134" s="247"/>
      <c r="AN1134" s="247"/>
      <c r="AO1134" s="247"/>
      <c r="AP1134" s="247"/>
      <c r="AQ1134" s="247"/>
      <c r="AR1134" s="247"/>
      <c r="AS1134" s="247"/>
      <c r="AT1134" s="247"/>
      <c r="AU1134" s="247"/>
      <c r="AW1134" s="116"/>
    </row>
    <row r="1135" spans="39:49" ht="13.5" customHeight="1">
      <c r="AM1135" s="247"/>
      <c r="AN1135" s="247"/>
      <c r="AO1135" s="247"/>
      <c r="AP1135" s="247"/>
      <c r="AQ1135" s="247"/>
      <c r="AR1135" s="247"/>
      <c r="AS1135" s="247"/>
      <c r="AT1135" s="247"/>
      <c r="AU1135" s="247"/>
      <c r="AW1135" s="116"/>
    </row>
    <row r="1136" spans="39:49" ht="24" customHeight="1">
      <c r="AM1136" s="247"/>
      <c r="AN1136" s="247"/>
      <c r="AO1136" s="247"/>
      <c r="AP1136" s="247"/>
      <c r="AQ1136" s="247"/>
      <c r="AR1136" s="247"/>
      <c r="AS1136" s="247"/>
      <c r="AT1136" s="247"/>
      <c r="AU1136" s="247"/>
      <c r="AW1136" s="116"/>
    </row>
    <row r="1137" spans="39:49" ht="13.5" customHeight="1">
      <c r="AM1137" s="247"/>
      <c r="AN1137" s="247"/>
      <c r="AO1137" s="247"/>
      <c r="AP1137" s="247"/>
      <c r="AQ1137" s="247"/>
      <c r="AR1137" s="247"/>
      <c r="AS1137" s="247"/>
      <c r="AT1137" s="247"/>
      <c r="AU1137" s="247"/>
      <c r="AW1137" s="116"/>
    </row>
    <row r="1138" spans="39:49" ht="24" customHeight="1">
      <c r="AM1138" s="247"/>
      <c r="AN1138" s="247"/>
      <c r="AO1138" s="247"/>
      <c r="AP1138" s="247"/>
      <c r="AQ1138" s="247"/>
      <c r="AR1138" s="247"/>
      <c r="AS1138" s="247"/>
      <c r="AT1138" s="247"/>
      <c r="AU1138" s="247"/>
      <c r="AW1138" s="116"/>
    </row>
    <row r="1139" spans="39:49" ht="13.5" customHeight="1">
      <c r="AM1139" s="247"/>
      <c r="AN1139" s="247"/>
      <c r="AO1139" s="247"/>
      <c r="AP1139" s="247"/>
      <c r="AQ1139" s="247"/>
      <c r="AR1139" s="247"/>
      <c r="AS1139" s="247"/>
      <c r="AT1139" s="247"/>
      <c r="AU1139" s="247"/>
      <c r="AW1139" s="116"/>
    </row>
    <row r="1140" spans="39:49" ht="24" customHeight="1">
      <c r="AM1140" s="247"/>
      <c r="AN1140" s="247"/>
      <c r="AO1140" s="247"/>
      <c r="AP1140" s="247"/>
      <c r="AQ1140" s="247"/>
      <c r="AR1140" s="247"/>
      <c r="AS1140" s="247"/>
      <c r="AT1140" s="247"/>
      <c r="AU1140" s="247"/>
      <c r="AW1140" s="116"/>
    </row>
    <row r="1141" spans="39:49" ht="13.5" customHeight="1">
      <c r="AM1141" s="247"/>
      <c r="AN1141" s="247"/>
      <c r="AO1141" s="247"/>
      <c r="AP1141" s="247"/>
      <c r="AQ1141" s="247"/>
      <c r="AR1141" s="247"/>
      <c r="AS1141" s="247"/>
      <c r="AT1141" s="247"/>
      <c r="AU1141" s="247"/>
      <c r="AW1141" s="116"/>
    </row>
    <row r="1142" spans="39:49" ht="24" customHeight="1">
      <c r="AM1142" s="247"/>
      <c r="AN1142" s="247"/>
      <c r="AO1142" s="247"/>
      <c r="AP1142" s="247"/>
      <c r="AQ1142" s="247"/>
      <c r="AR1142" s="247"/>
      <c r="AS1142" s="247"/>
      <c r="AT1142" s="247"/>
      <c r="AU1142" s="247"/>
      <c r="AW1142" s="116"/>
    </row>
    <row r="1143" spans="39:49" ht="13.5" customHeight="1">
      <c r="AM1143" s="247"/>
      <c r="AN1143" s="247"/>
      <c r="AO1143" s="247"/>
      <c r="AP1143" s="247"/>
      <c r="AQ1143" s="247"/>
      <c r="AR1143" s="247"/>
      <c r="AS1143" s="247"/>
      <c r="AT1143" s="247"/>
      <c r="AU1143" s="247"/>
      <c r="AW1143" s="116"/>
    </row>
    <row r="1144" spans="39:49" ht="24" customHeight="1">
      <c r="AM1144" s="247"/>
      <c r="AN1144" s="247"/>
      <c r="AO1144" s="247"/>
      <c r="AP1144" s="247"/>
      <c r="AQ1144" s="247"/>
      <c r="AR1144" s="247"/>
      <c r="AS1144" s="247"/>
      <c r="AT1144" s="247"/>
      <c r="AU1144" s="247"/>
      <c r="AW1144" s="116"/>
    </row>
    <row r="1145" spans="39:49" ht="13.5" customHeight="1">
      <c r="AM1145" s="247"/>
      <c r="AN1145" s="247"/>
      <c r="AO1145" s="247"/>
      <c r="AP1145" s="247"/>
      <c r="AQ1145" s="247"/>
      <c r="AR1145" s="247"/>
      <c r="AS1145" s="247"/>
      <c r="AT1145" s="247"/>
      <c r="AU1145" s="247"/>
      <c r="AW1145" s="116"/>
    </row>
    <row r="1146" spans="39:49" ht="24" customHeight="1">
      <c r="AM1146" s="247"/>
      <c r="AN1146" s="247"/>
      <c r="AO1146" s="247"/>
      <c r="AP1146" s="247"/>
      <c r="AQ1146" s="247"/>
      <c r="AR1146" s="247"/>
      <c r="AS1146" s="247"/>
      <c r="AT1146" s="247"/>
      <c r="AU1146" s="247"/>
      <c r="AW1146" s="116"/>
    </row>
    <row r="1147" spans="39:49" ht="13.5" customHeight="1">
      <c r="AM1147" s="247"/>
      <c r="AN1147" s="247"/>
      <c r="AO1147" s="247"/>
      <c r="AP1147" s="247"/>
      <c r="AQ1147" s="247"/>
      <c r="AR1147" s="247"/>
      <c r="AS1147" s="247"/>
      <c r="AT1147" s="247"/>
      <c r="AU1147" s="247"/>
      <c r="AW1147" s="116"/>
    </row>
    <row r="1148" spans="39:49" ht="24" customHeight="1">
      <c r="AM1148" s="247"/>
      <c r="AN1148" s="247"/>
      <c r="AO1148" s="247"/>
      <c r="AP1148" s="247"/>
      <c r="AQ1148" s="247"/>
      <c r="AR1148" s="247"/>
      <c r="AS1148" s="247"/>
      <c r="AT1148" s="247"/>
      <c r="AU1148" s="247"/>
      <c r="AW1148" s="116"/>
    </row>
    <row r="1149" spans="39:49" ht="13.5" customHeight="1">
      <c r="AM1149" s="247"/>
      <c r="AN1149" s="247"/>
      <c r="AO1149" s="247"/>
      <c r="AP1149" s="247"/>
      <c r="AQ1149" s="247"/>
      <c r="AR1149" s="247"/>
      <c r="AS1149" s="247"/>
      <c r="AT1149" s="247"/>
      <c r="AU1149" s="247"/>
      <c r="AW1149" s="116"/>
    </row>
    <row r="1150" spans="39:49" ht="24" customHeight="1">
      <c r="AM1150" s="247"/>
      <c r="AN1150" s="247"/>
      <c r="AO1150" s="247"/>
      <c r="AP1150" s="247"/>
      <c r="AQ1150" s="247"/>
      <c r="AR1150" s="247"/>
      <c r="AS1150" s="247"/>
      <c r="AT1150" s="247"/>
      <c r="AU1150" s="247"/>
      <c r="AW1150" s="116"/>
    </row>
    <row r="1151" spans="39:49" ht="13.5" customHeight="1">
      <c r="AM1151" s="247"/>
      <c r="AN1151" s="247"/>
      <c r="AO1151" s="247"/>
      <c r="AP1151" s="247"/>
      <c r="AQ1151" s="247"/>
      <c r="AR1151" s="247"/>
      <c r="AS1151" s="247"/>
      <c r="AT1151" s="247"/>
      <c r="AU1151" s="247"/>
      <c r="AW1151" s="116"/>
    </row>
    <row r="1152" spans="39:49" ht="24" customHeight="1">
      <c r="AM1152" s="247"/>
      <c r="AN1152" s="247"/>
      <c r="AO1152" s="247"/>
      <c r="AP1152" s="247"/>
      <c r="AQ1152" s="247"/>
      <c r="AR1152" s="247"/>
      <c r="AS1152" s="247"/>
      <c r="AT1152" s="247"/>
      <c r="AU1152" s="247"/>
      <c r="AW1152" s="116"/>
    </row>
    <row r="1153" spans="39:49" ht="13.5" customHeight="1">
      <c r="AM1153" s="247"/>
      <c r="AN1153" s="247"/>
      <c r="AO1153" s="247"/>
      <c r="AP1153" s="247"/>
      <c r="AQ1153" s="247"/>
      <c r="AR1153" s="247"/>
      <c r="AS1153" s="247"/>
      <c r="AT1153" s="247"/>
      <c r="AU1153" s="247"/>
      <c r="AW1153" s="116"/>
    </row>
    <row r="1154" spans="39:49" ht="24" customHeight="1">
      <c r="AM1154" s="247"/>
      <c r="AN1154" s="247"/>
      <c r="AO1154" s="247"/>
      <c r="AP1154" s="247"/>
      <c r="AQ1154" s="247"/>
      <c r="AR1154" s="247"/>
      <c r="AS1154" s="247"/>
      <c r="AT1154" s="247"/>
      <c r="AU1154" s="247"/>
      <c r="AW1154" s="116"/>
    </row>
    <row r="1155" spans="39:49" ht="13.5" customHeight="1">
      <c r="AM1155" s="247"/>
      <c r="AN1155" s="247"/>
      <c r="AO1155" s="247"/>
      <c r="AP1155" s="247"/>
      <c r="AQ1155" s="247"/>
      <c r="AR1155" s="247"/>
      <c r="AS1155" s="247"/>
      <c r="AT1155" s="247"/>
      <c r="AU1155" s="247"/>
      <c r="AW1155" s="116"/>
    </row>
    <row r="1156" spans="39:49" ht="24" customHeight="1">
      <c r="AM1156" s="247"/>
      <c r="AN1156" s="247"/>
      <c r="AO1156" s="247"/>
      <c r="AP1156" s="247"/>
      <c r="AQ1156" s="247"/>
      <c r="AR1156" s="247"/>
      <c r="AS1156" s="247"/>
      <c r="AT1156" s="247"/>
      <c r="AU1156" s="247"/>
      <c r="AW1156" s="116"/>
    </row>
    <row r="1157" spans="39:49" ht="13.5" customHeight="1">
      <c r="AM1157" s="247"/>
      <c r="AN1157" s="247"/>
      <c r="AO1157" s="247"/>
      <c r="AP1157" s="247"/>
      <c r="AQ1157" s="247"/>
      <c r="AR1157" s="247"/>
      <c r="AS1157" s="247"/>
      <c r="AT1157" s="247"/>
      <c r="AU1157" s="247"/>
      <c r="AW1157" s="116"/>
    </row>
    <row r="1158" spans="39:49" ht="24" customHeight="1">
      <c r="AM1158" s="247"/>
      <c r="AN1158" s="247"/>
      <c r="AO1158" s="247"/>
      <c r="AP1158" s="247"/>
      <c r="AQ1158" s="247"/>
      <c r="AR1158" s="247"/>
      <c r="AS1158" s="247"/>
      <c r="AT1158" s="247"/>
      <c r="AU1158" s="247"/>
      <c r="AW1158" s="116"/>
    </row>
    <row r="1159" spans="39:49" ht="13.5" customHeight="1">
      <c r="AM1159" s="247"/>
      <c r="AN1159" s="247"/>
      <c r="AO1159" s="247"/>
      <c r="AP1159" s="247"/>
      <c r="AQ1159" s="247"/>
      <c r="AR1159" s="247"/>
      <c r="AS1159" s="247"/>
      <c r="AT1159" s="247"/>
      <c r="AU1159" s="247"/>
      <c r="AW1159" s="116"/>
    </row>
    <row r="1160" spans="39:49" ht="24" customHeight="1">
      <c r="AM1160" s="247"/>
      <c r="AN1160" s="247"/>
      <c r="AO1160" s="247"/>
      <c r="AP1160" s="247"/>
      <c r="AQ1160" s="247"/>
      <c r="AR1160" s="247"/>
      <c r="AS1160" s="247"/>
      <c r="AT1160" s="247"/>
      <c r="AU1160" s="247"/>
      <c r="AW1160" s="116"/>
    </row>
    <row r="1161" spans="39:49" ht="13.5" customHeight="1">
      <c r="AM1161" s="247"/>
      <c r="AN1161" s="247"/>
      <c r="AO1161" s="247"/>
      <c r="AP1161" s="247"/>
      <c r="AQ1161" s="247"/>
      <c r="AR1161" s="247"/>
      <c r="AS1161" s="247"/>
      <c r="AT1161" s="247"/>
      <c r="AU1161" s="247"/>
      <c r="AW1161" s="116"/>
    </row>
    <row r="1162" spans="39:49" ht="24" customHeight="1">
      <c r="AM1162" s="247"/>
      <c r="AN1162" s="247"/>
      <c r="AO1162" s="247"/>
      <c r="AP1162" s="247"/>
      <c r="AQ1162" s="247"/>
      <c r="AR1162" s="247"/>
      <c r="AS1162" s="247"/>
      <c r="AT1162" s="247"/>
      <c r="AU1162" s="247"/>
      <c r="AW1162" s="116"/>
    </row>
    <row r="1163" spans="39:49" ht="13.5" customHeight="1">
      <c r="AM1163" s="247"/>
      <c r="AN1163" s="247"/>
      <c r="AO1163" s="247"/>
      <c r="AP1163" s="247"/>
      <c r="AQ1163" s="247"/>
      <c r="AR1163" s="247"/>
      <c r="AS1163" s="247"/>
      <c r="AT1163" s="247"/>
      <c r="AU1163" s="247"/>
      <c r="AW1163" s="116"/>
    </row>
    <row r="1164" spans="39:49" ht="24" customHeight="1">
      <c r="AM1164" s="247"/>
      <c r="AN1164" s="247"/>
      <c r="AO1164" s="247"/>
      <c r="AP1164" s="247"/>
      <c r="AQ1164" s="247"/>
      <c r="AR1164" s="247"/>
      <c r="AS1164" s="247"/>
      <c r="AT1164" s="247"/>
      <c r="AU1164" s="247"/>
      <c r="AW1164" s="116"/>
    </row>
    <row r="1165" spans="39:49" ht="13.5" customHeight="1">
      <c r="AM1165" s="247"/>
      <c r="AN1165" s="247"/>
      <c r="AO1165" s="247"/>
      <c r="AP1165" s="247"/>
      <c r="AQ1165" s="247"/>
      <c r="AR1165" s="247"/>
      <c r="AS1165" s="247"/>
      <c r="AT1165" s="247"/>
      <c r="AU1165" s="247"/>
      <c r="AW1165" s="116"/>
    </row>
    <row r="1166" spans="39:49" ht="24" customHeight="1">
      <c r="AM1166" s="247"/>
      <c r="AN1166" s="247"/>
      <c r="AO1166" s="247"/>
      <c r="AP1166" s="247"/>
      <c r="AQ1166" s="247"/>
      <c r="AR1166" s="247"/>
      <c r="AS1166" s="247"/>
      <c r="AT1166" s="247"/>
      <c r="AU1166" s="247"/>
      <c r="AW1166" s="116"/>
    </row>
    <row r="1167" spans="39:49" ht="13.5" customHeight="1">
      <c r="AM1167" s="247"/>
      <c r="AN1167" s="247"/>
      <c r="AO1167" s="247"/>
      <c r="AP1167" s="247"/>
      <c r="AQ1167" s="247"/>
      <c r="AR1167" s="247"/>
      <c r="AS1167" s="247"/>
      <c r="AT1167" s="247"/>
      <c r="AU1167" s="247"/>
      <c r="AW1167" s="116"/>
    </row>
    <row r="1168" spans="39:49" ht="24" customHeight="1">
      <c r="AM1168" s="247"/>
      <c r="AN1168" s="247"/>
      <c r="AO1168" s="247"/>
      <c r="AP1168" s="247"/>
      <c r="AQ1168" s="247"/>
      <c r="AR1168" s="247"/>
      <c r="AS1168" s="247"/>
      <c r="AT1168" s="247"/>
      <c r="AU1168" s="247"/>
      <c r="AW1168" s="116"/>
    </row>
    <row r="1169" spans="39:49" ht="13.5" customHeight="1">
      <c r="AM1169" s="247"/>
      <c r="AN1169" s="247"/>
      <c r="AO1169" s="247"/>
      <c r="AP1169" s="247"/>
      <c r="AQ1169" s="247"/>
      <c r="AR1169" s="247"/>
      <c r="AS1169" s="247"/>
      <c r="AT1169" s="247"/>
      <c r="AU1169" s="247"/>
      <c r="AW1169" s="116"/>
    </row>
    <row r="1170" spans="39:49" ht="24" customHeight="1">
      <c r="AM1170" s="247"/>
      <c r="AN1170" s="247"/>
      <c r="AO1170" s="247"/>
      <c r="AP1170" s="247"/>
      <c r="AQ1170" s="247"/>
      <c r="AR1170" s="247"/>
      <c r="AS1170" s="247"/>
      <c r="AT1170" s="247"/>
      <c r="AU1170" s="247"/>
      <c r="AW1170" s="116"/>
    </row>
    <row r="1171" spans="39:49" ht="13.5" customHeight="1">
      <c r="AM1171" s="247"/>
      <c r="AN1171" s="247"/>
      <c r="AO1171" s="247"/>
      <c r="AP1171" s="247"/>
      <c r="AQ1171" s="247"/>
      <c r="AR1171" s="247"/>
      <c r="AS1171" s="247"/>
      <c r="AT1171" s="247"/>
      <c r="AU1171" s="247"/>
      <c r="AW1171" s="116"/>
    </row>
    <row r="1172" spans="39:49" ht="24" customHeight="1">
      <c r="AM1172" s="247"/>
      <c r="AN1172" s="247"/>
      <c r="AO1172" s="247"/>
      <c r="AP1172" s="247"/>
      <c r="AQ1172" s="247"/>
      <c r="AR1172" s="247"/>
      <c r="AS1172" s="247"/>
      <c r="AT1172" s="247"/>
      <c r="AU1172" s="247"/>
      <c r="AW1172" s="116"/>
    </row>
    <row r="1173" spans="39:49" ht="13.5" customHeight="1">
      <c r="AM1173" s="247"/>
      <c r="AN1173" s="247"/>
      <c r="AO1173" s="247"/>
      <c r="AP1173" s="247"/>
      <c r="AQ1173" s="247"/>
      <c r="AR1173" s="247"/>
      <c r="AS1173" s="247"/>
      <c r="AT1173" s="247"/>
      <c r="AU1173" s="247"/>
      <c r="AW1173" s="116"/>
    </row>
    <row r="1174" spans="39:49" ht="24" customHeight="1">
      <c r="AM1174" s="247"/>
      <c r="AN1174" s="247"/>
      <c r="AO1174" s="247"/>
      <c r="AP1174" s="247"/>
      <c r="AQ1174" s="247"/>
      <c r="AR1174" s="247"/>
      <c r="AS1174" s="247"/>
      <c r="AT1174" s="247"/>
      <c r="AU1174" s="247"/>
      <c r="AW1174" s="116"/>
    </row>
    <row r="1175" spans="39:49" ht="13.5" customHeight="1">
      <c r="AM1175" s="247"/>
      <c r="AN1175" s="247"/>
      <c r="AO1175" s="247"/>
      <c r="AP1175" s="247"/>
      <c r="AQ1175" s="247"/>
      <c r="AR1175" s="247"/>
      <c r="AS1175" s="247"/>
      <c r="AT1175" s="247"/>
      <c r="AU1175" s="247"/>
      <c r="AW1175" s="116"/>
    </row>
    <row r="1176" spans="39:49" ht="24" customHeight="1">
      <c r="AM1176" s="247"/>
      <c r="AN1176" s="247"/>
      <c r="AO1176" s="247"/>
      <c r="AP1176" s="247"/>
      <c r="AQ1176" s="247"/>
      <c r="AR1176" s="247"/>
      <c r="AS1176" s="247"/>
      <c r="AT1176" s="247"/>
      <c r="AU1176" s="247"/>
      <c r="AW1176" s="116"/>
    </row>
    <row r="1177" spans="39:49" ht="13.5" customHeight="1">
      <c r="AM1177" s="247"/>
      <c r="AN1177" s="247"/>
      <c r="AO1177" s="247"/>
      <c r="AP1177" s="247"/>
      <c r="AQ1177" s="247"/>
      <c r="AR1177" s="247"/>
      <c r="AS1177" s="247"/>
      <c r="AT1177" s="247"/>
      <c r="AU1177" s="247"/>
      <c r="AW1177" s="116"/>
    </row>
    <row r="1178" spans="39:49" ht="24" customHeight="1">
      <c r="AM1178" s="247"/>
      <c r="AN1178" s="247"/>
      <c r="AO1178" s="247"/>
      <c r="AP1178" s="247"/>
      <c r="AQ1178" s="247"/>
      <c r="AR1178" s="247"/>
      <c r="AS1178" s="247"/>
      <c r="AT1178" s="247"/>
      <c r="AU1178" s="247"/>
      <c r="AW1178" s="116"/>
    </row>
    <row r="1179" spans="39:49" ht="13.5" customHeight="1">
      <c r="AM1179" s="247"/>
      <c r="AN1179" s="247"/>
      <c r="AO1179" s="247"/>
      <c r="AP1179" s="247"/>
      <c r="AQ1179" s="247"/>
      <c r="AR1179" s="247"/>
      <c r="AS1179" s="247"/>
      <c r="AT1179" s="247"/>
      <c r="AU1179" s="247"/>
      <c r="AW1179" s="116"/>
    </row>
    <row r="1180" spans="39:49" ht="24" customHeight="1">
      <c r="AM1180" s="247"/>
      <c r="AN1180" s="247"/>
      <c r="AO1180" s="247"/>
      <c r="AP1180" s="247"/>
      <c r="AQ1180" s="247"/>
      <c r="AR1180" s="247"/>
      <c r="AS1180" s="247"/>
      <c r="AT1180" s="247"/>
      <c r="AU1180" s="247"/>
      <c r="AW1180" s="116"/>
    </row>
    <row r="1181" spans="39:49" ht="13.5" customHeight="1">
      <c r="AM1181" s="247"/>
      <c r="AN1181" s="247"/>
      <c r="AO1181" s="247"/>
      <c r="AP1181" s="247"/>
      <c r="AQ1181" s="247"/>
      <c r="AR1181" s="247"/>
      <c r="AS1181" s="247"/>
      <c r="AT1181" s="247"/>
      <c r="AU1181" s="247"/>
      <c r="AW1181" s="116"/>
    </row>
    <row r="1182" spans="39:49" ht="24" customHeight="1">
      <c r="AM1182" s="247"/>
      <c r="AN1182" s="247"/>
      <c r="AO1182" s="247"/>
      <c r="AP1182" s="247"/>
      <c r="AQ1182" s="247"/>
      <c r="AR1182" s="247"/>
      <c r="AS1182" s="247"/>
      <c r="AT1182" s="247"/>
      <c r="AU1182" s="247"/>
      <c r="AW1182" s="116"/>
    </row>
    <row r="1183" spans="39:49" ht="13.5" customHeight="1">
      <c r="AM1183" s="247"/>
      <c r="AN1183" s="247"/>
      <c r="AO1183" s="247"/>
      <c r="AP1183" s="247"/>
      <c r="AQ1183" s="247"/>
      <c r="AR1183" s="247"/>
      <c r="AS1183" s="247"/>
      <c r="AT1183" s="247"/>
      <c r="AU1183" s="247"/>
      <c r="AW1183" s="116"/>
    </row>
    <row r="1184" spans="39:49" ht="24" customHeight="1">
      <c r="AM1184" s="247"/>
      <c r="AN1184" s="247"/>
      <c r="AO1184" s="247"/>
      <c r="AP1184" s="247"/>
      <c r="AQ1184" s="247"/>
      <c r="AR1184" s="247"/>
      <c r="AS1184" s="247"/>
      <c r="AT1184" s="247"/>
      <c r="AU1184" s="247"/>
      <c r="AW1184" s="116"/>
    </row>
    <row r="1185" spans="39:49" ht="13.5" customHeight="1">
      <c r="AM1185" s="247"/>
      <c r="AN1185" s="247"/>
      <c r="AO1185" s="247"/>
      <c r="AP1185" s="247"/>
      <c r="AQ1185" s="247"/>
      <c r="AR1185" s="247"/>
      <c r="AS1185" s="247"/>
      <c r="AT1185" s="247"/>
      <c r="AU1185" s="247"/>
      <c r="AW1185" s="116"/>
    </row>
    <row r="1186" spans="39:49" ht="24" customHeight="1">
      <c r="AM1186" s="247"/>
      <c r="AN1186" s="247"/>
      <c r="AO1186" s="247"/>
      <c r="AP1186" s="247"/>
      <c r="AQ1186" s="247"/>
      <c r="AR1186" s="247"/>
      <c r="AS1186" s="247"/>
      <c r="AT1186" s="247"/>
      <c r="AU1186" s="247"/>
      <c r="AW1186" s="116"/>
    </row>
    <row r="1187" spans="39:49" ht="13.5" customHeight="1">
      <c r="AM1187" s="247"/>
      <c r="AN1187" s="247"/>
      <c r="AO1187" s="247"/>
      <c r="AP1187" s="247"/>
      <c r="AQ1187" s="247"/>
      <c r="AR1187" s="247"/>
      <c r="AS1187" s="247"/>
      <c r="AT1187" s="247"/>
      <c r="AU1187" s="247"/>
      <c r="AW1187" s="116"/>
    </row>
    <row r="1188" spans="39:49" ht="24" customHeight="1">
      <c r="AM1188" s="247"/>
      <c r="AN1188" s="247"/>
      <c r="AO1188" s="247"/>
      <c r="AP1188" s="247"/>
      <c r="AQ1188" s="247"/>
      <c r="AR1188" s="247"/>
      <c r="AS1188" s="247"/>
      <c r="AT1188" s="247"/>
      <c r="AU1188" s="247"/>
      <c r="AW1188" s="116"/>
    </row>
    <row r="1189" spans="39:49" ht="13.5" customHeight="1">
      <c r="AM1189" s="247"/>
      <c r="AN1189" s="247"/>
      <c r="AO1189" s="247"/>
      <c r="AP1189" s="247"/>
      <c r="AQ1189" s="247"/>
      <c r="AR1189" s="247"/>
      <c r="AS1189" s="247"/>
      <c r="AT1189" s="247"/>
      <c r="AU1189" s="247"/>
      <c r="AW1189" s="116"/>
    </row>
    <row r="1190" spans="39:49" ht="24" customHeight="1">
      <c r="AM1190" s="247"/>
      <c r="AN1190" s="247"/>
      <c r="AO1190" s="247"/>
      <c r="AP1190" s="247"/>
      <c r="AQ1190" s="247"/>
      <c r="AR1190" s="247"/>
      <c r="AS1190" s="247"/>
      <c r="AT1190" s="247"/>
      <c r="AU1190" s="247"/>
      <c r="AW1190" s="116"/>
    </row>
    <row r="1191" spans="39:49" ht="13.5" customHeight="1">
      <c r="AM1191" s="247"/>
      <c r="AN1191" s="247"/>
      <c r="AO1191" s="247"/>
      <c r="AP1191" s="247"/>
      <c r="AQ1191" s="247"/>
      <c r="AR1191" s="247"/>
      <c r="AS1191" s="247"/>
      <c r="AT1191" s="247"/>
      <c r="AU1191" s="247"/>
      <c r="AW1191" s="116"/>
    </row>
    <row r="1192" spans="39:49" ht="24" customHeight="1">
      <c r="AM1192" s="247"/>
      <c r="AN1192" s="247"/>
      <c r="AO1192" s="247"/>
      <c r="AP1192" s="247"/>
      <c r="AQ1192" s="247"/>
      <c r="AR1192" s="247"/>
      <c r="AS1192" s="247"/>
      <c r="AT1192" s="247"/>
      <c r="AU1192" s="247"/>
      <c r="AW1192" s="116"/>
    </row>
    <row r="1193" spans="39:49" ht="13.5" customHeight="1">
      <c r="AM1193" s="247"/>
      <c r="AN1193" s="247"/>
      <c r="AO1193" s="247"/>
      <c r="AP1193" s="247"/>
      <c r="AQ1193" s="247"/>
      <c r="AR1193" s="247"/>
      <c r="AS1193" s="247"/>
      <c r="AT1193" s="247"/>
      <c r="AU1193" s="247"/>
      <c r="AW1193" s="116"/>
    </row>
    <row r="1194" spans="39:49" ht="24" customHeight="1">
      <c r="AM1194" s="247"/>
      <c r="AN1194" s="247"/>
      <c r="AO1194" s="247"/>
      <c r="AP1194" s="247"/>
      <c r="AQ1194" s="247"/>
      <c r="AR1194" s="247"/>
      <c r="AS1194" s="247"/>
      <c r="AT1194" s="247"/>
      <c r="AU1194" s="247"/>
      <c r="AW1194" s="116"/>
    </row>
    <row r="1195" spans="39:49" ht="13.5" customHeight="1">
      <c r="AM1195" s="247"/>
      <c r="AN1195" s="247"/>
      <c r="AO1195" s="247"/>
      <c r="AP1195" s="247"/>
      <c r="AQ1195" s="247"/>
      <c r="AR1195" s="247"/>
      <c r="AS1195" s="247"/>
      <c r="AT1195" s="247"/>
      <c r="AU1195" s="247"/>
      <c r="AW1195" s="116"/>
    </row>
    <row r="1196" spans="39:49" ht="24" customHeight="1">
      <c r="AM1196" s="247"/>
      <c r="AN1196" s="247"/>
      <c r="AO1196" s="247"/>
      <c r="AP1196" s="247"/>
      <c r="AQ1196" s="247"/>
      <c r="AR1196" s="247"/>
      <c r="AS1196" s="247"/>
      <c r="AT1196" s="247"/>
      <c r="AU1196" s="247"/>
      <c r="AW1196" s="116"/>
    </row>
    <row r="1197" spans="39:49" ht="13.5" customHeight="1">
      <c r="AM1197" s="247"/>
      <c r="AN1197" s="247"/>
      <c r="AO1197" s="247"/>
      <c r="AP1197" s="247"/>
      <c r="AQ1197" s="247"/>
      <c r="AR1197" s="247"/>
      <c r="AS1197" s="247"/>
      <c r="AT1197" s="247"/>
      <c r="AU1197" s="247"/>
      <c r="AW1197" s="116"/>
    </row>
    <row r="1198" spans="39:49" ht="24" customHeight="1">
      <c r="AM1198" s="247"/>
      <c r="AN1198" s="247"/>
      <c r="AO1198" s="247"/>
      <c r="AP1198" s="247"/>
      <c r="AQ1198" s="247"/>
      <c r="AR1198" s="247"/>
      <c r="AS1198" s="247"/>
      <c r="AT1198" s="247"/>
      <c r="AU1198" s="247"/>
      <c r="AW1198" s="116"/>
    </row>
    <row r="1199" spans="39:49" ht="13.5" customHeight="1">
      <c r="AM1199" s="247"/>
      <c r="AN1199" s="247"/>
      <c r="AO1199" s="247"/>
      <c r="AP1199" s="247"/>
      <c r="AQ1199" s="247"/>
      <c r="AR1199" s="247"/>
      <c r="AS1199" s="247"/>
      <c r="AT1199" s="247"/>
      <c r="AU1199" s="247"/>
      <c r="AW1199" s="116"/>
    </row>
    <row r="1200" spans="39:49" ht="24" customHeight="1">
      <c r="AM1200" s="247"/>
      <c r="AN1200" s="247"/>
      <c r="AO1200" s="247"/>
      <c r="AP1200" s="247"/>
      <c r="AQ1200" s="247"/>
      <c r="AR1200" s="247"/>
      <c r="AS1200" s="247"/>
      <c r="AT1200" s="247"/>
      <c r="AU1200" s="247"/>
      <c r="AW1200" s="116"/>
    </row>
    <row r="1201" spans="39:49" ht="13.5" customHeight="1">
      <c r="AM1201" s="247"/>
      <c r="AN1201" s="247"/>
      <c r="AO1201" s="247"/>
      <c r="AP1201" s="247"/>
      <c r="AQ1201" s="247"/>
      <c r="AR1201" s="247"/>
      <c r="AS1201" s="247"/>
      <c r="AT1201" s="247"/>
      <c r="AU1201" s="247"/>
      <c r="AW1201" s="116"/>
    </row>
    <row r="1202" spans="39:49" ht="24" customHeight="1">
      <c r="AM1202" s="247"/>
      <c r="AN1202" s="247"/>
      <c r="AO1202" s="247"/>
      <c r="AP1202" s="247"/>
      <c r="AQ1202" s="247"/>
      <c r="AR1202" s="247"/>
      <c r="AS1202" s="247"/>
      <c r="AT1202" s="247"/>
      <c r="AU1202" s="247"/>
      <c r="AW1202" s="116"/>
    </row>
    <row r="1203" spans="39:49" ht="13.5" customHeight="1">
      <c r="AM1203" s="247"/>
      <c r="AN1203" s="247"/>
      <c r="AO1203" s="247"/>
      <c r="AP1203" s="247"/>
      <c r="AQ1203" s="247"/>
      <c r="AR1203" s="247"/>
      <c r="AS1203" s="247"/>
      <c r="AT1203" s="247"/>
      <c r="AU1203" s="247"/>
      <c r="AW1203" s="116"/>
    </row>
    <row r="1204" spans="39:49" ht="24" customHeight="1">
      <c r="AM1204" s="247"/>
      <c r="AN1204" s="247"/>
      <c r="AO1204" s="247"/>
      <c r="AP1204" s="247"/>
      <c r="AQ1204" s="247"/>
      <c r="AR1204" s="247"/>
      <c r="AS1204" s="247"/>
      <c r="AT1204" s="247"/>
      <c r="AU1204" s="247"/>
      <c r="AW1204" s="116"/>
    </row>
    <row r="1205" spans="39:49" ht="13.5" customHeight="1">
      <c r="AM1205" s="247"/>
      <c r="AN1205" s="247"/>
      <c r="AO1205" s="247"/>
      <c r="AP1205" s="247"/>
      <c r="AQ1205" s="247"/>
      <c r="AR1205" s="247"/>
      <c r="AS1205" s="247"/>
      <c r="AT1205" s="247"/>
      <c r="AU1205" s="247"/>
      <c r="AW1205" s="116"/>
    </row>
    <row r="1206" spans="39:49" ht="24" customHeight="1">
      <c r="AM1206" s="247"/>
      <c r="AN1206" s="247"/>
      <c r="AO1206" s="247"/>
      <c r="AP1206" s="247"/>
      <c r="AQ1206" s="247"/>
      <c r="AR1206" s="247"/>
      <c r="AS1206" s="247"/>
      <c r="AT1206" s="247"/>
      <c r="AU1206" s="247"/>
      <c r="AW1206" s="116"/>
    </row>
    <row r="1207" spans="39:49" ht="13.5" customHeight="1">
      <c r="AM1207" s="247"/>
      <c r="AN1207" s="247"/>
      <c r="AO1207" s="247"/>
      <c r="AP1207" s="247"/>
      <c r="AQ1207" s="247"/>
      <c r="AR1207" s="247"/>
      <c r="AS1207" s="247"/>
      <c r="AT1207" s="247"/>
      <c r="AU1207" s="247"/>
      <c r="AW1207" s="116"/>
    </row>
    <row r="1208" spans="39:49" ht="24" customHeight="1">
      <c r="AM1208" s="247"/>
      <c r="AN1208" s="247"/>
      <c r="AO1208" s="247"/>
      <c r="AP1208" s="247"/>
      <c r="AQ1208" s="247"/>
      <c r="AR1208" s="247"/>
      <c r="AS1208" s="247"/>
      <c r="AT1208" s="247"/>
      <c r="AU1208" s="247"/>
      <c r="AW1208" s="116"/>
    </row>
    <row r="1209" spans="39:49" ht="13.5" customHeight="1">
      <c r="AM1209" s="247"/>
      <c r="AN1209" s="247"/>
      <c r="AO1209" s="247"/>
      <c r="AP1209" s="247"/>
      <c r="AQ1209" s="247"/>
      <c r="AR1209" s="247"/>
      <c r="AS1209" s="247"/>
      <c r="AT1209" s="247"/>
      <c r="AU1209" s="247"/>
      <c r="AW1209" s="116"/>
    </row>
    <row r="1210" spans="39:49" ht="24" customHeight="1">
      <c r="AM1210" s="247"/>
      <c r="AN1210" s="247"/>
      <c r="AO1210" s="247"/>
      <c r="AP1210" s="247"/>
      <c r="AQ1210" s="247"/>
      <c r="AR1210" s="247"/>
      <c r="AS1210" s="247"/>
      <c r="AT1210" s="247"/>
      <c r="AU1210" s="247"/>
      <c r="AW1210" s="116"/>
    </row>
    <row r="1211" spans="39:49" ht="13.5" customHeight="1">
      <c r="AM1211" s="247"/>
      <c r="AN1211" s="247"/>
      <c r="AO1211" s="247"/>
      <c r="AP1211" s="247"/>
      <c r="AQ1211" s="247"/>
      <c r="AR1211" s="247"/>
      <c r="AS1211" s="247"/>
      <c r="AT1211" s="247"/>
      <c r="AU1211" s="247"/>
      <c r="AW1211" s="116"/>
    </row>
    <row r="1212" spans="39:49" ht="24" customHeight="1">
      <c r="AM1212" s="247"/>
      <c r="AN1212" s="247"/>
      <c r="AO1212" s="247"/>
      <c r="AP1212" s="247"/>
      <c r="AQ1212" s="247"/>
      <c r="AR1212" s="247"/>
      <c r="AS1212" s="247"/>
      <c r="AT1212" s="247"/>
      <c r="AU1212" s="247"/>
      <c r="AW1212" s="116"/>
    </row>
    <row r="1213" spans="39:49" ht="13.5" customHeight="1">
      <c r="AM1213" s="247"/>
      <c r="AN1213" s="247"/>
      <c r="AO1213" s="247"/>
      <c r="AP1213" s="247"/>
      <c r="AQ1213" s="247"/>
      <c r="AR1213" s="247"/>
      <c r="AS1213" s="247"/>
      <c r="AT1213" s="247"/>
      <c r="AU1213" s="247"/>
      <c r="AW1213" s="116"/>
    </row>
    <row r="1214" spans="39:49" ht="24" customHeight="1">
      <c r="AM1214" s="247"/>
      <c r="AN1214" s="247"/>
      <c r="AO1214" s="247"/>
      <c r="AP1214" s="247"/>
      <c r="AQ1214" s="247"/>
      <c r="AR1214" s="247"/>
      <c r="AS1214" s="247"/>
      <c r="AT1214" s="247"/>
      <c r="AU1214" s="247"/>
      <c r="AW1214" s="116"/>
    </row>
    <row r="1215" spans="39:49" ht="13.5" customHeight="1">
      <c r="AM1215" s="247"/>
      <c r="AN1215" s="247"/>
      <c r="AO1215" s="247"/>
      <c r="AP1215" s="247"/>
      <c r="AQ1215" s="247"/>
      <c r="AR1215" s="247"/>
      <c r="AS1215" s="247"/>
      <c r="AT1215" s="247"/>
      <c r="AU1215" s="247"/>
      <c r="AW1215" s="116"/>
    </row>
    <row r="1216" spans="39:49" ht="24" customHeight="1">
      <c r="AM1216" s="247"/>
      <c r="AN1216" s="247"/>
      <c r="AO1216" s="247"/>
      <c r="AP1216" s="247"/>
      <c r="AQ1216" s="247"/>
      <c r="AR1216" s="247"/>
      <c r="AS1216" s="247"/>
      <c r="AT1216" s="247"/>
      <c r="AU1216" s="247"/>
      <c r="AW1216" s="116"/>
    </row>
    <row r="1217" spans="39:49" ht="13.5" customHeight="1">
      <c r="AM1217" s="247"/>
      <c r="AN1217" s="247"/>
      <c r="AO1217" s="247"/>
      <c r="AP1217" s="247"/>
      <c r="AQ1217" s="247"/>
      <c r="AR1217" s="247"/>
      <c r="AS1217" s="247"/>
      <c r="AT1217" s="247"/>
      <c r="AU1217" s="247"/>
      <c r="AW1217" s="116"/>
    </row>
    <row r="1218" spans="39:49" ht="24" customHeight="1">
      <c r="AM1218" s="247"/>
      <c r="AN1218" s="247"/>
      <c r="AO1218" s="247"/>
      <c r="AP1218" s="247"/>
      <c r="AQ1218" s="247"/>
      <c r="AR1218" s="247"/>
      <c r="AS1218" s="247"/>
      <c r="AT1218" s="247"/>
      <c r="AU1218" s="247"/>
      <c r="AW1218" s="116"/>
    </row>
    <row r="1219" spans="39:49" ht="13.5" customHeight="1">
      <c r="AM1219" s="247"/>
      <c r="AN1219" s="247"/>
      <c r="AO1219" s="247"/>
      <c r="AP1219" s="247"/>
      <c r="AQ1219" s="247"/>
      <c r="AR1219" s="247"/>
      <c r="AS1219" s="247"/>
      <c r="AT1219" s="247"/>
      <c r="AU1219" s="247"/>
      <c r="AW1219" s="116"/>
    </row>
    <row r="1220" spans="39:49" ht="24" customHeight="1">
      <c r="AM1220" s="247"/>
      <c r="AN1220" s="247"/>
      <c r="AO1220" s="247"/>
      <c r="AP1220" s="247"/>
      <c r="AQ1220" s="247"/>
      <c r="AR1220" s="247"/>
      <c r="AS1220" s="247"/>
      <c r="AT1220" s="247"/>
      <c r="AU1220" s="247"/>
      <c r="AW1220" s="116"/>
    </row>
    <row r="1221" spans="39:49" ht="13.5" customHeight="1">
      <c r="AM1221" s="247"/>
      <c r="AN1221" s="247"/>
      <c r="AO1221" s="247"/>
      <c r="AP1221" s="247"/>
      <c r="AQ1221" s="247"/>
      <c r="AR1221" s="247"/>
      <c r="AS1221" s="247"/>
      <c r="AT1221" s="247"/>
      <c r="AU1221" s="247"/>
      <c r="AW1221" s="116"/>
    </row>
    <row r="1222" spans="39:49" ht="24" customHeight="1">
      <c r="AM1222" s="247"/>
      <c r="AN1222" s="247"/>
      <c r="AO1222" s="247"/>
      <c r="AP1222" s="247"/>
      <c r="AQ1222" s="247"/>
      <c r="AR1222" s="247"/>
      <c r="AS1222" s="247"/>
      <c r="AT1222" s="247"/>
      <c r="AU1222" s="247"/>
      <c r="AW1222" s="116"/>
    </row>
    <row r="1223" spans="39:49" ht="13.5" customHeight="1">
      <c r="AM1223" s="247"/>
      <c r="AN1223" s="247"/>
      <c r="AO1223" s="247"/>
      <c r="AP1223" s="247"/>
      <c r="AQ1223" s="247"/>
      <c r="AR1223" s="247"/>
      <c r="AS1223" s="247"/>
      <c r="AT1223" s="247"/>
      <c r="AU1223" s="247"/>
      <c r="AW1223" s="116"/>
    </row>
    <row r="1224" spans="39:49" ht="24" customHeight="1">
      <c r="AM1224" s="247"/>
      <c r="AN1224" s="247"/>
      <c r="AO1224" s="247"/>
      <c r="AP1224" s="247"/>
      <c r="AQ1224" s="247"/>
      <c r="AR1224" s="247"/>
      <c r="AS1224" s="247"/>
      <c r="AT1224" s="247"/>
      <c r="AU1224" s="247"/>
      <c r="AW1224" s="116"/>
    </row>
    <row r="1225" spans="39:49" ht="13.5" customHeight="1">
      <c r="AM1225" s="247"/>
      <c r="AN1225" s="247"/>
      <c r="AO1225" s="247"/>
      <c r="AP1225" s="247"/>
      <c r="AQ1225" s="247"/>
      <c r="AR1225" s="247"/>
      <c r="AS1225" s="247"/>
      <c r="AT1225" s="247"/>
      <c r="AU1225" s="247"/>
      <c r="AW1225" s="116"/>
    </row>
    <row r="1226" spans="39:49" ht="24" customHeight="1">
      <c r="AM1226" s="247"/>
      <c r="AN1226" s="247"/>
      <c r="AO1226" s="247"/>
      <c r="AP1226" s="247"/>
      <c r="AQ1226" s="247"/>
      <c r="AR1226" s="247"/>
      <c r="AS1226" s="247"/>
      <c r="AT1226" s="247"/>
      <c r="AU1226" s="247"/>
      <c r="AW1226" s="116"/>
    </row>
    <row r="1227" spans="39:49" ht="13.5" customHeight="1">
      <c r="AM1227" s="247"/>
      <c r="AN1227" s="247"/>
      <c r="AO1227" s="247"/>
      <c r="AP1227" s="247"/>
      <c r="AQ1227" s="247"/>
      <c r="AR1227" s="247"/>
      <c r="AS1227" s="247"/>
      <c r="AT1227" s="247"/>
      <c r="AU1227" s="247"/>
      <c r="AW1227" s="116"/>
    </row>
    <row r="1228" spans="39:49" ht="24" customHeight="1">
      <c r="AM1228" s="247"/>
      <c r="AN1228" s="247"/>
      <c r="AO1228" s="247"/>
      <c r="AP1228" s="247"/>
      <c r="AQ1228" s="247"/>
      <c r="AR1228" s="247"/>
      <c r="AS1228" s="247"/>
      <c r="AT1228" s="247"/>
      <c r="AU1228" s="247"/>
      <c r="AW1228" s="116"/>
    </row>
    <row r="1229" spans="39:49" ht="13.5" customHeight="1">
      <c r="AM1229" s="247"/>
      <c r="AN1229" s="247"/>
      <c r="AO1229" s="247"/>
      <c r="AP1229" s="247"/>
      <c r="AQ1229" s="247"/>
      <c r="AR1229" s="247"/>
      <c r="AS1229" s="247"/>
      <c r="AT1229" s="247"/>
      <c r="AU1229" s="247"/>
      <c r="AW1229" s="116"/>
    </row>
    <row r="1230" spans="39:49" ht="24" customHeight="1">
      <c r="AM1230" s="247"/>
      <c r="AN1230" s="247"/>
      <c r="AO1230" s="247"/>
      <c r="AP1230" s="247"/>
      <c r="AQ1230" s="247"/>
      <c r="AR1230" s="247"/>
      <c r="AS1230" s="247"/>
      <c r="AT1230" s="247"/>
      <c r="AU1230" s="247"/>
      <c r="AW1230" s="116"/>
    </row>
    <row r="1231" spans="39:49" ht="13.5" customHeight="1">
      <c r="AM1231" s="247"/>
      <c r="AN1231" s="247"/>
      <c r="AO1231" s="247"/>
      <c r="AP1231" s="247"/>
      <c r="AQ1231" s="247"/>
      <c r="AR1231" s="247"/>
      <c r="AS1231" s="247"/>
      <c r="AT1231" s="247"/>
      <c r="AU1231" s="247"/>
      <c r="AW1231" s="116"/>
    </row>
    <row r="1232" spans="39:49" ht="24" customHeight="1">
      <c r="AM1232" s="247"/>
      <c r="AN1232" s="247"/>
      <c r="AO1232" s="247"/>
      <c r="AP1232" s="247"/>
      <c r="AQ1232" s="247"/>
      <c r="AR1232" s="247"/>
      <c r="AS1232" s="247"/>
      <c r="AT1232" s="247"/>
      <c r="AU1232" s="247"/>
      <c r="AW1232" s="116"/>
    </row>
    <row r="1233" spans="39:49" ht="13.5" customHeight="1">
      <c r="AM1233" s="247"/>
      <c r="AN1233" s="247"/>
      <c r="AO1233" s="247"/>
      <c r="AP1233" s="247"/>
      <c r="AQ1233" s="247"/>
      <c r="AR1233" s="247"/>
      <c r="AS1233" s="247"/>
      <c r="AT1233" s="247"/>
      <c r="AU1233" s="247"/>
      <c r="AW1233" s="116"/>
    </row>
    <row r="1234" spans="39:49" ht="24" customHeight="1">
      <c r="AM1234" s="247"/>
      <c r="AN1234" s="247"/>
      <c r="AO1234" s="247"/>
      <c r="AP1234" s="247"/>
      <c r="AQ1234" s="247"/>
      <c r="AR1234" s="247"/>
      <c r="AS1234" s="247"/>
      <c r="AT1234" s="247"/>
      <c r="AU1234" s="247"/>
      <c r="AW1234" s="116"/>
    </row>
    <row r="1235" spans="39:49" ht="13.5" customHeight="1">
      <c r="AM1235" s="247"/>
      <c r="AN1235" s="247"/>
      <c r="AO1235" s="247"/>
      <c r="AP1235" s="247"/>
      <c r="AQ1235" s="247"/>
      <c r="AR1235" s="247"/>
      <c r="AS1235" s="247"/>
      <c r="AT1235" s="247"/>
      <c r="AU1235" s="247"/>
      <c r="AW1235" s="116"/>
    </row>
    <row r="1236" spans="39:49" ht="24" customHeight="1">
      <c r="AM1236" s="247"/>
      <c r="AN1236" s="247"/>
      <c r="AO1236" s="247"/>
      <c r="AP1236" s="247"/>
      <c r="AQ1236" s="247"/>
      <c r="AR1236" s="247"/>
      <c r="AS1236" s="247"/>
      <c r="AT1236" s="247"/>
      <c r="AU1236" s="247"/>
      <c r="AW1236" s="116"/>
    </row>
    <row r="1237" spans="39:49" ht="13.5" customHeight="1">
      <c r="AM1237" s="247"/>
      <c r="AN1237" s="247"/>
      <c r="AO1237" s="247"/>
      <c r="AP1237" s="247"/>
      <c r="AQ1237" s="247"/>
      <c r="AR1237" s="247"/>
      <c r="AS1237" s="247"/>
      <c r="AT1237" s="247"/>
      <c r="AU1237" s="247"/>
      <c r="AW1237" s="116"/>
    </row>
    <row r="1238" spans="39:49" ht="24" customHeight="1">
      <c r="AM1238" s="247"/>
      <c r="AN1238" s="247"/>
      <c r="AO1238" s="247"/>
      <c r="AP1238" s="247"/>
      <c r="AQ1238" s="247"/>
      <c r="AR1238" s="247"/>
      <c r="AS1238" s="247"/>
      <c r="AT1238" s="247"/>
      <c r="AU1238" s="247"/>
      <c r="AW1238" s="116"/>
    </row>
    <row r="1239" spans="39:49" ht="13.5" customHeight="1">
      <c r="AM1239" s="247"/>
      <c r="AN1239" s="247"/>
      <c r="AO1239" s="247"/>
      <c r="AP1239" s="247"/>
      <c r="AQ1239" s="247"/>
      <c r="AR1239" s="247"/>
      <c r="AS1239" s="247"/>
      <c r="AT1239" s="247"/>
      <c r="AU1239" s="247"/>
      <c r="AW1239" s="116"/>
    </row>
    <row r="1240" spans="39:49" ht="24" customHeight="1">
      <c r="AM1240" s="247"/>
      <c r="AN1240" s="247"/>
      <c r="AO1240" s="247"/>
      <c r="AP1240" s="247"/>
      <c r="AQ1240" s="247"/>
      <c r="AR1240" s="247"/>
      <c r="AS1240" s="247"/>
      <c r="AT1240" s="247"/>
      <c r="AU1240" s="247"/>
      <c r="AW1240" s="116"/>
    </row>
    <row r="1241" spans="39:49" ht="13.5" customHeight="1">
      <c r="AM1241" s="247"/>
      <c r="AN1241" s="247"/>
      <c r="AO1241" s="247"/>
      <c r="AP1241" s="247"/>
      <c r="AQ1241" s="247"/>
      <c r="AR1241" s="247"/>
      <c r="AS1241" s="247"/>
      <c r="AT1241" s="247"/>
      <c r="AU1241" s="247"/>
      <c r="AW1241" s="116"/>
    </row>
    <row r="1242" spans="39:49" ht="24" customHeight="1">
      <c r="AM1242" s="247"/>
      <c r="AN1242" s="247"/>
      <c r="AO1242" s="247"/>
      <c r="AP1242" s="247"/>
      <c r="AQ1242" s="247"/>
      <c r="AR1242" s="247"/>
      <c r="AS1242" s="247"/>
      <c r="AT1242" s="247"/>
      <c r="AU1242" s="247"/>
      <c r="AW1242" s="116"/>
    </row>
    <row r="1243" spans="39:49" ht="13.5" customHeight="1">
      <c r="AM1243" s="247"/>
      <c r="AN1243" s="247"/>
      <c r="AO1243" s="247"/>
      <c r="AP1243" s="247"/>
      <c r="AQ1243" s="247"/>
      <c r="AR1243" s="247"/>
      <c r="AS1243" s="247"/>
      <c r="AT1243" s="247"/>
      <c r="AU1243" s="247"/>
      <c r="AW1243" s="116"/>
    </row>
    <row r="1244" spans="39:49" ht="24" customHeight="1">
      <c r="AM1244" s="247"/>
      <c r="AN1244" s="247"/>
      <c r="AO1244" s="247"/>
      <c r="AP1244" s="247"/>
      <c r="AQ1244" s="247"/>
      <c r="AR1244" s="247"/>
      <c r="AS1244" s="247"/>
      <c r="AT1244" s="247"/>
      <c r="AU1244" s="247"/>
      <c r="AW1244" s="116"/>
    </row>
    <row r="1245" spans="39:49" ht="13.5" customHeight="1">
      <c r="AM1245" s="247"/>
      <c r="AN1245" s="247"/>
      <c r="AO1245" s="247"/>
      <c r="AP1245" s="247"/>
      <c r="AQ1245" s="247"/>
      <c r="AR1245" s="247"/>
      <c r="AS1245" s="247"/>
      <c r="AT1245" s="247"/>
      <c r="AU1245" s="247"/>
      <c r="AW1245" s="116"/>
    </row>
    <row r="1246" spans="39:49" ht="24" customHeight="1">
      <c r="AM1246" s="247"/>
      <c r="AN1246" s="247"/>
      <c r="AO1246" s="247"/>
      <c r="AP1246" s="247"/>
      <c r="AQ1246" s="247"/>
      <c r="AR1246" s="247"/>
      <c r="AS1246" s="247"/>
      <c r="AT1246" s="247"/>
      <c r="AU1246" s="247"/>
      <c r="AW1246" s="116"/>
    </row>
    <row r="1247" spans="39:49" ht="13.5" customHeight="1">
      <c r="AM1247" s="247"/>
      <c r="AN1247" s="247"/>
      <c r="AO1247" s="247"/>
      <c r="AP1247" s="247"/>
      <c r="AQ1247" s="247"/>
      <c r="AR1247" s="247"/>
      <c r="AS1247" s="247"/>
      <c r="AT1247" s="247"/>
      <c r="AU1247" s="247"/>
      <c r="AW1247" s="116"/>
    </row>
    <row r="1248" spans="39:49" ht="24" customHeight="1">
      <c r="AM1248" s="247"/>
      <c r="AN1248" s="247"/>
      <c r="AO1248" s="247"/>
      <c r="AP1248" s="247"/>
      <c r="AQ1248" s="247"/>
      <c r="AR1248" s="247"/>
      <c r="AS1248" s="247"/>
      <c r="AT1248" s="247"/>
      <c r="AU1248" s="247"/>
      <c r="AW1248" s="116"/>
    </row>
    <row r="1249" spans="39:49" ht="13.5" customHeight="1">
      <c r="AM1249" s="247"/>
      <c r="AN1249" s="247"/>
      <c r="AO1249" s="247"/>
      <c r="AP1249" s="247"/>
      <c r="AQ1249" s="247"/>
      <c r="AR1249" s="247"/>
      <c r="AS1249" s="247"/>
      <c r="AT1249" s="247"/>
      <c r="AU1249" s="247"/>
      <c r="AW1249" s="116"/>
    </row>
    <row r="1250" spans="39:49" ht="24" customHeight="1">
      <c r="AM1250" s="247"/>
      <c r="AN1250" s="247"/>
      <c r="AO1250" s="247"/>
      <c r="AP1250" s="247"/>
      <c r="AQ1250" s="247"/>
      <c r="AR1250" s="247"/>
      <c r="AS1250" s="247"/>
      <c r="AT1250" s="247"/>
      <c r="AU1250" s="247"/>
      <c r="AW1250" s="116"/>
    </row>
    <row r="1251" spans="39:49" ht="13.5" customHeight="1">
      <c r="AM1251" s="247"/>
      <c r="AN1251" s="247"/>
      <c r="AO1251" s="247"/>
      <c r="AP1251" s="247"/>
      <c r="AQ1251" s="247"/>
      <c r="AR1251" s="247"/>
      <c r="AS1251" s="247"/>
      <c r="AT1251" s="247"/>
      <c r="AU1251" s="247"/>
      <c r="AW1251" s="116"/>
    </row>
    <row r="1252" spans="39:49" ht="24" customHeight="1">
      <c r="AM1252" s="247"/>
      <c r="AN1252" s="247"/>
      <c r="AO1252" s="247"/>
      <c r="AP1252" s="247"/>
      <c r="AQ1252" s="247"/>
      <c r="AR1252" s="247"/>
      <c r="AS1252" s="247"/>
      <c r="AT1252" s="247"/>
      <c r="AU1252" s="247"/>
      <c r="AW1252" s="116"/>
    </row>
    <row r="1253" spans="39:49" ht="13.5" customHeight="1">
      <c r="AM1253" s="247"/>
      <c r="AN1253" s="247"/>
      <c r="AO1253" s="247"/>
      <c r="AP1253" s="247"/>
      <c r="AQ1253" s="247"/>
      <c r="AR1253" s="247"/>
      <c r="AS1253" s="247"/>
      <c r="AT1253" s="247"/>
      <c r="AU1253" s="247"/>
      <c r="AW1253" s="116"/>
    </row>
    <row r="1254" spans="39:49" ht="24" customHeight="1">
      <c r="AM1254" s="247"/>
      <c r="AN1254" s="247"/>
      <c r="AO1254" s="247"/>
      <c r="AP1254" s="247"/>
      <c r="AQ1254" s="247"/>
      <c r="AR1254" s="247"/>
      <c r="AS1254" s="247"/>
      <c r="AT1254" s="247"/>
      <c r="AU1254" s="247"/>
      <c r="AW1254" s="116"/>
    </row>
    <row r="1255" spans="39:49" ht="13.5" customHeight="1">
      <c r="AM1255" s="247"/>
      <c r="AN1255" s="247"/>
      <c r="AO1255" s="247"/>
      <c r="AP1255" s="247"/>
      <c r="AQ1255" s="247"/>
      <c r="AR1255" s="247"/>
      <c r="AS1255" s="247"/>
      <c r="AT1255" s="247"/>
      <c r="AU1255" s="247"/>
      <c r="AW1255" s="116"/>
    </row>
    <row r="1256" spans="39:49" ht="24" customHeight="1">
      <c r="AM1256" s="247"/>
      <c r="AN1256" s="247"/>
      <c r="AO1256" s="247"/>
      <c r="AP1256" s="247"/>
      <c r="AQ1256" s="247"/>
      <c r="AR1256" s="247"/>
      <c r="AS1256" s="247"/>
      <c r="AT1256" s="247"/>
      <c r="AU1256" s="247"/>
      <c r="AW1256" s="116"/>
    </row>
    <row r="1257" spans="39:49" ht="13.5" customHeight="1">
      <c r="AM1257" s="247"/>
      <c r="AN1257" s="247"/>
      <c r="AO1257" s="247"/>
      <c r="AP1257" s="247"/>
      <c r="AQ1257" s="247"/>
      <c r="AR1257" s="247"/>
      <c r="AS1257" s="247"/>
      <c r="AT1257" s="247"/>
      <c r="AU1257" s="247"/>
      <c r="AW1257" s="116"/>
    </row>
    <row r="1258" spans="39:49" ht="24" customHeight="1">
      <c r="AM1258" s="247"/>
      <c r="AN1258" s="247"/>
      <c r="AO1258" s="247"/>
      <c r="AP1258" s="247"/>
      <c r="AQ1258" s="247"/>
      <c r="AR1258" s="247"/>
      <c r="AS1258" s="247"/>
      <c r="AT1258" s="247"/>
      <c r="AU1258" s="247"/>
      <c r="AW1258" s="116"/>
    </row>
    <row r="1259" spans="39:49" ht="13.5" customHeight="1">
      <c r="AM1259" s="247"/>
      <c r="AN1259" s="247"/>
      <c r="AO1259" s="247"/>
      <c r="AP1259" s="247"/>
      <c r="AQ1259" s="247"/>
      <c r="AR1259" s="247"/>
      <c r="AS1259" s="247"/>
      <c r="AT1259" s="247"/>
      <c r="AU1259" s="247"/>
      <c r="AW1259" s="116"/>
    </row>
    <row r="1260" spans="39:49" ht="24" customHeight="1">
      <c r="AM1260" s="247"/>
      <c r="AN1260" s="247"/>
      <c r="AO1260" s="247"/>
      <c r="AP1260" s="247"/>
      <c r="AQ1260" s="247"/>
      <c r="AR1260" s="247"/>
      <c r="AS1260" s="247"/>
      <c r="AT1260" s="247"/>
      <c r="AU1260" s="247"/>
      <c r="AW1260" s="116"/>
    </row>
    <row r="1261" spans="39:49" ht="13.5" customHeight="1">
      <c r="AM1261" s="247"/>
      <c r="AN1261" s="247"/>
      <c r="AO1261" s="247"/>
      <c r="AP1261" s="247"/>
      <c r="AQ1261" s="247"/>
      <c r="AR1261" s="247"/>
      <c r="AS1261" s="247"/>
      <c r="AT1261" s="247"/>
      <c r="AU1261" s="247"/>
      <c r="AW1261" s="116"/>
    </row>
    <row r="1262" spans="39:49" ht="24" customHeight="1">
      <c r="AM1262" s="247"/>
      <c r="AN1262" s="247"/>
      <c r="AO1262" s="247"/>
      <c r="AP1262" s="247"/>
      <c r="AQ1262" s="247"/>
      <c r="AR1262" s="247"/>
      <c r="AS1262" s="247"/>
      <c r="AT1262" s="247"/>
      <c r="AU1262" s="247"/>
      <c r="AW1262" s="116"/>
    </row>
    <row r="1263" spans="39:49" ht="13.5" customHeight="1">
      <c r="AM1263" s="247"/>
      <c r="AN1263" s="247"/>
      <c r="AO1263" s="247"/>
      <c r="AP1263" s="247"/>
      <c r="AQ1263" s="247"/>
      <c r="AR1263" s="247"/>
      <c r="AS1263" s="247"/>
      <c r="AT1263" s="247"/>
      <c r="AU1263" s="247"/>
      <c r="AW1263" s="116"/>
    </row>
    <row r="1264" spans="39:49" ht="24" customHeight="1">
      <c r="AM1264" s="247"/>
      <c r="AN1264" s="247"/>
      <c r="AO1264" s="247"/>
      <c r="AP1264" s="247"/>
      <c r="AQ1264" s="247"/>
      <c r="AR1264" s="247"/>
      <c r="AS1264" s="247"/>
      <c r="AT1264" s="247"/>
      <c r="AU1264" s="247"/>
      <c r="AW1264" s="116"/>
    </row>
    <row r="1265" spans="39:49" ht="13.5" customHeight="1">
      <c r="AM1265" s="247"/>
      <c r="AN1265" s="247"/>
      <c r="AO1265" s="247"/>
      <c r="AP1265" s="247"/>
      <c r="AQ1265" s="247"/>
      <c r="AR1265" s="247"/>
      <c r="AS1265" s="247"/>
      <c r="AT1265" s="247"/>
      <c r="AU1265" s="247"/>
      <c r="AW1265" s="116"/>
    </row>
    <row r="1266" spans="39:49" ht="24" customHeight="1">
      <c r="AM1266" s="247"/>
      <c r="AN1266" s="247"/>
      <c r="AO1266" s="247"/>
      <c r="AP1266" s="247"/>
      <c r="AQ1266" s="247"/>
      <c r="AR1266" s="247"/>
      <c r="AS1266" s="247"/>
      <c r="AT1266" s="247"/>
      <c r="AU1266" s="247"/>
      <c r="AW1266" s="116"/>
    </row>
    <row r="1267" spans="39:49" ht="13.5" customHeight="1">
      <c r="AM1267" s="247"/>
      <c r="AN1267" s="247"/>
      <c r="AO1267" s="247"/>
      <c r="AP1267" s="247"/>
      <c r="AQ1267" s="247"/>
      <c r="AR1267" s="247"/>
      <c r="AS1267" s="247"/>
      <c r="AT1267" s="247"/>
      <c r="AU1267" s="247"/>
      <c r="AW1267" s="116"/>
    </row>
    <row r="1268" spans="39:49" ht="24" customHeight="1">
      <c r="AM1268" s="247"/>
      <c r="AN1268" s="247"/>
      <c r="AO1268" s="247"/>
      <c r="AP1268" s="247"/>
      <c r="AQ1268" s="247"/>
      <c r="AR1268" s="247"/>
      <c r="AS1268" s="247"/>
      <c r="AT1268" s="247"/>
      <c r="AU1268" s="247"/>
      <c r="AW1268" s="116"/>
    </row>
    <row r="1269" spans="39:49" ht="13.5" customHeight="1">
      <c r="AM1269" s="247"/>
      <c r="AN1269" s="247"/>
      <c r="AO1269" s="247"/>
      <c r="AP1269" s="247"/>
      <c r="AQ1269" s="247"/>
      <c r="AR1269" s="247"/>
      <c r="AS1269" s="247"/>
      <c r="AT1269" s="247"/>
      <c r="AU1269" s="247"/>
      <c r="AW1269" s="116"/>
    </row>
    <row r="1270" spans="39:49" ht="24" customHeight="1">
      <c r="AM1270" s="247"/>
      <c r="AN1270" s="247"/>
      <c r="AO1270" s="247"/>
      <c r="AP1270" s="247"/>
      <c r="AQ1270" s="247"/>
      <c r="AR1270" s="247"/>
      <c r="AS1270" s="247"/>
      <c r="AT1270" s="247"/>
      <c r="AU1270" s="247"/>
      <c r="AW1270" s="116"/>
    </row>
    <row r="1271" spans="39:49" ht="13.5" customHeight="1">
      <c r="AM1271" s="247"/>
      <c r="AN1271" s="247"/>
      <c r="AO1271" s="247"/>
      <c r="AP1271" s="247"/>
      <c r="AQ1271" s="247"/>
      <c r="AR1271" s="247"/>
      <c r="AS1271" s="247"/>
      <c r="AT1271" s="247"/>
      <c r="AU1271" s="247"/>
      <c r="AW1271" s="116"/>
    </row>
    <row r="1272" spans="39:49" ht="24" customHeight="1">
      <c r="AM1272" s="247"/>
      <c r="AN1272" s="247"/>
      <c r="AO1272" s="247"/>
      <c r="AP1272" s="247"/>
      <c r="AQ1272" s="247"/>
      <c r="AR1272" s="247"/>
      <c r="AS1272" s="247"/>
      <c r="AT1272" s="247"/>
      <c r="AU1272" s="247"/>
      <c r="AW1272" s="116"/>
    </row>
    <row r="1273" spans="39:49" ht="13.5" customHeight="1">
      <c r="AM1273" s="247"/>
      <c r="AN1273" s="247"/>
      <c r="AO1273" s="247"/>
      <c r="AP1273" s="247"/>
      <c r="AQ1273" s="247"/>
      <c r="AR1273" s="247"/>
      <c r="AS1273" s="247"/>
      <c r="AT1273" s="247"/>
      <c r="AU1273" s="247"/>
      <c r="AW1273" s="116"/>
    </row>
    <row r="1274" spans="39:49" ht="24" customHeight="1">
      <c r="AM1274" s="247"/>
      <c r="AN1274" s="247"/>
      <c r="AO1274" s="247"/>
      <c r="AP1274" s="247"/>
      <c r="AQ1274" s="247"/>
      <c r="AR1274" s="247"/>
      <c r="AS1274" s="247"/>
      <c r="AT1274" s="247"/>
      <c r="AU1274" s="247"/>
      <c r="AW1274" s="116"/>
    </row>
    <row r="1275" spans="39:49" ht="13.5" customHeight="1">
      <c r="AM1275" s="247"/>
      <c r="AN1275" s="247"/>
      <c r="AO1275" s="247"/>
      <c r="AP1275" s="247"/>
      <c r="AQ1275" s="247"/>
      <c r="AR1275" s="247"/>
      <c r="AS1275" s="247"/>
      <c r="AT1275" s="247"/>
      <c r="AU1275" s="247"/>
      <c r="AW1275" s="116"/>
    </row>
    <row r="1276" spans="39:49" ht="24" customHeight="1">
      <c r="AM1276" s="247"/>
      <c r="AN1276" s="247"/>
      <c r="AO1276" s="247"/>
      <c r="AP1276" s="247"/>
      <c r="AQ1276" s="247"/>
      <c r="AR1276" s="247"/>
      <c r="AS1276" s="247"/>
      <c r="AT1276" s="247"/>
      <c r="AU1276" s="247"/>
      <c r="AW1276" s="116"/>
    </row>
    <row r="1277" spans="39:49" ht="13.5" customHeight="1">
      <c r="AM1277" s="247"/>
      <c r="AN1277" s="247"/>
      <c r="AO1277" s="247"/>
      <c r="AP1277" s="247"/>
      <c r="AQ1277" s="247"/>
      <c r="AR1277" s="247"/>
      <c r="AS1277" s="247"/>
      <c r="AT1277" s="247"/>
      <c r="AU1277" s="247"/>
      <c r="AW1277" s="116"/>
    </row>
    <row r="1278" spans="39:49" ht="24" customHeight="1">
      <c r="AM1278" s="247"/>
      <c r="AN1278" s="247"/>
      <c r="AO1278" s="247"/>
      <c r="AP1278" s="247"/>
      <c r="AQ1278" s="247"/>
      <c r="AR1278" s="247"/>
      <c r="AS1278" s="247"/>
      <c r="AT1278" s="247"/>
      <c r="AU1278" s="247"/>
      <c r="AW1278" s="116"/>
    </row>
    <row r="1279" spans="39:49" ht="13.5" customHeight="1">
      <c r="AM1279" s="247"/>
      <c r="AN1279" s="247"/>
      <c r="AO1279" s="247"/>
      <c r="AP1279" s="247"/>
      <c r="AQ1279" s="247"/>
      <c r="AR1279" s="247"/>
      <c r="AS1279" s="247"/>
      <c r="AT1279" s="247"/>
      <c r="AU1279" s="247"/>
      <c r="AW1279" s="116"/>
    </row>
    <row r="1280" spans="39:49" ht="24" customHeight="1">
      <c r="AM1280" s="247"/>
      <c r="AN1280" s="247"/>
      <c r="AO1280" s="247"/>
      <c r="AP1280" s="247"/>
      <c r="AQ1280" s="247"/>
      <c r="AR1280" s="247"/>
      <c r="AS1280" s="247"/>
      <c r="AT1280" s="247"/>
      <c r="AU1280" s="247"/>
      <c r="AW1280" s="116"/>
    </row>
    <row r="1281" spans="39:49" ht="13.5" customHeight="1">
      <c r="AM1281" s="247"/>
      <c r="AN1281" s="247"/>
      <c r="AO1281" s="247"/>
      <c r="AP1281" s="247"/>
      <c r="AQ1281" s="247"/>
      <c r="AR1281" s="247"/>
      <c r="AS1281" s="247"/>
      <c r="AT1281" s="247"/>
      <c r="AU1281" s="247"/>
      <c r="AW1281" s="116"/>
    </row>
    <row r="1282" spans="39:49" ht="24" customHeight="1">
      <c r="AM1282" s="247"/>
      <c r="AN1282" s="247"/>
      <c r="AO1282" s="247"/>
      <c r="AP1282" s="247"/>
      <c r="AQ1282" s="247"/>
      <c r="AR1282" s="247"/>
      <c r="AS1282" s="247"/>
      <c r="AT1282" s="247"/>
      <c r="AU1282" s="247"/>
      <c r="AW1282" s="116"/>
    </row>
    <row r="1283" spans="39:49" ht="13.5" customHeight="1">
      <c r="AM1283" s="247"/>
      <c r="AN1283" s="247"/>
      <c r="AO1283" s="247"/>
      <c r="AP1283" s="247"/>
      <c r="AQ1283" s="247"/>
      <c r="AR1283" s="247"/>
      <c r="AS1283" s="247"/>
      <c r="AT1283" s="247"/>
      <c r="AU1283" s="247"/>
      <c r="AW1283" s="116"/>
    </row>
    <row r="1284" spans="39:49" ht="24" customHeight="1">
      <c r="AM1284" s="247"/>
      <c r="AN1284" s="247"/>
      <c r="AO1284" s="247"/>
      <c r="AP1284" s="247"/>
      <c r="AQ1284" s="247"/>
      <c r="AR1284" s="247"/>
      <c r="AS1284" s="247"/>
      <c r="AT1284" s="247"/>
      <c r="AU1284" s="247"/>
      <c r="AW1284" s="116"/>
    </row>
    <row r="1285" spans="39:49" ht="13.5" customHeight="1">
      <c r="AM1285" s="247"/>
      <c r="AN1285" s="247"/>
      <c r="AO1285" s="247"/>
      <c r="AP1285" s="247"/>
      <c r="AQ1285" s="247"/>
      <c r="AR1285" s="247"/>
      <c r="AS1285" s="247"/>
      <c r="AT1285" s="247"/>
      <c r="AU1285" s="247"/>
      <c r="AW1285" s="116"/>
    </row>
    <row r="1286" spans="39:49" ht="24" customHeight="1">
      <c r="AM1286" s="247"/>
      <c r="AN1286" s="247"/>
      <c r="AO1286" s="247"/>
      <c r="AP1286" s="247"/>
      <c r="AQ1286" s="247"/>
      <c r="AR1286" s="247"/>
      <c r="AS1286" s="247"/>
      <c r="AT1286" s="247"/>
      <c r="AU1286" s="247"/>
      <c r="AW1286" s="116"/>
    </row>
    <row r="1287" spans="39:49" ht="13.5" customHeight="1">
      <c r="AM1287" s="247"/>
      <c r="AN1287" s="247"/>
      <c r="AO1287" s="247"/>
      <c r="AP1287" s="247"/>
      <c r="AQ1287" s="247"/>
      <c r="AR1287" s="247"/>
      <c r="AS1287" s="247"/>
      <c r="AT1287" s="247"/>
      <c r="AU1287" s="247"/>
      <c r="AW1287" s="116"/>
    </row>
    <row r="1288" spans="39:49" ht="24" customHeight="1">
      <c r="AM1288" s="247"/>
      <c r="AN1288" s="247"/>
      <c r="AO1288" s="247"/>
      <c r="AP1288" s="247"/>
      <c r="AQ1288" s="247"/>
      <c r="AR1288" s="247"/>
      <c r="AS1288" s="247"/>
      <c r="AT1288" s="247"/>
      <c r="AU1288" s="247"/>
      <c r="AW1288" s="116"/>
    </row>
    <row r="1289" spans="39:49" ht="13.5" customHeight="1">
      <c r="AM1289" s="247"/>
      <c r="AN1289" s="247"/>
      <c r="AO1289" s="247"/>
      <c r="AP1289" s="247"/>
      <c r="AQ1289" s="247"/>
      <c r="AR1289" s="247"/>
      <c r="AS1289" s="247"/>
      <c r="AT1289" s="247"/>
      <c r="AU1289" s="247"/>
      <c r="AW1289" s="116"/>
    </row>
    <row r="1290" spans="39:49" ht="24" customHeight="1">
      <c r="AM1290" s="247"/>
      <c r="AN1290" s="247"/>
      <c r="AO1290" s="247"/>
      <c r="AP1290" s="247"/>
      <c r="AQ1290" s="247"/>
      <c r="AR1290" s="247"/>
      <c r="AS1290" s="247"/>
      <c r="AT1290" s="247"/>
      <c r="AU1290" s="247"/>
      <c r="AW1290" s="116"/>
    </row>
    <row r="1291" spans="39:49" ht="13.5" customHeight="1">
      <c r="AM1291" s="247"/>
      <c r="AN1291" s="247"/>
      <c r="AO1291" s="247"/>
      <c r="AP1291" s="247"/>
      <c r="AQ1291" s="247"/>
      <c r="AR1291" s="247"/>
      <c r="AS1291" s="247"/>
      <c r="AT1291" s="247"/>
      <c r="AU1291" s="247"/>
      <c r="AW1291" s="116"/>
    </row>
    <row r="1292" spans="39:49" ht="24" customHeight="1">
      <c r="AM1292" s="247"/>
      <c r="AN1292" s="247"/>
      <c r="AO1292" s="247"/>
      <c r="AP1292" s="247"/>
      <c r="AQ1292" s="247"/>
      <c r="AR1292" s="247"/>
      <c r="AS1292" s="247"/>
      <c r="AT1292" s="247"/>
      <c r="AU1292" s="247"/>
      <c r="AW1292" s="116"/>
    </row>
    <row r="1293" spans="39:49" ht="13.5" customHeight="1">
      <c r="AM1293" s="247"/>
      <c r="AN1293" s="247"/>
      <c r="AO1293" s="247"/>
      <c r="AP1293" s="247"/>
      <c r="AQ1293" s="247"/>
      <c r="AR1293" s="247"/>
      <c r="AS1293" s="247"/>
      <c r="AT1293" s="247"/>
      <c r="AU1293" s="247"/>
      <c r="AW1293" s="116"/>
    </row>
    <row r="1294" spans="39:49" ht="24" customHeight="1">
      <c r="AM1294" s="247"/>
      <c r="AN1294" s="247"/>
      <c r="AO1294" s="247"/>
      <c r="AP1294" s="247"/>
      <c r="AQ1294" s="247"/>
      <c r="AR1294" s="247"/>
      <c r="AS1294" s="247"/>
      <c r="AT1294" s="247"/>
      <c r="AU1294" s="247"/>
      <c r="AW1294" s="116"/>
    </row>
    <row r="1295" spans="39:49" ht="13.5" customHeight="1">
      <c r="AM1295" s="247"/>
      <c r="AN1295" s="247"/>
      <c r="AO1295" s="247"/>
      <c r="AP1295" s="247"/>
      <c r="AQ1295" s="247"/>
      <c r="AR1295" s="247"/>
      <c r="AS1295" s="247"/>
      <c r="AT1295" s="247"/>
      <c r="AU1295" s="247"/>
      <c r="AW1295" s="116"/>
    </row>
    <row r="1296" spans="39:49" ht="24" customHeight="1">
      <c r="AM1296" s="247"/>
      <c r="AN1296" s="247"/>
      <c r="AO1296" s="247"/>
      <c r="AP1296" s="247"/>
      <c r="AQ1296" s="247"/>
      <c r="AR1296" s="247"/>
      <c r="AS1296" s="247"/>
      <c r="AT1296" s="247"/>
      <c r="AU1296" s="247"/>
      <c r="AW1296" s="116"/>
    </row>
    <row r="1297" spans="39:49" ht="13.5" customHeight="1">
      <c r="AM1297" s="247"/>
      <c r="AN1297" s="247"/>
      <c r="AO1297" s="247"/>
      <c r="AP1297" s="247"/>
      <c r="AQ1297" s="247"/>
      <c r="AR1297" s="247"/>
      <c r="AS1297" s="247"/>
      <c r="AT1297" s="247"/>
      <c r="AU1297" s="247"/>
      <c r="AW1297" s="116"/>
    </row>
    <row r="1298" spans="39:49" ht="24" customHeight="1">
      <c r="AM1298" s="247"/>
      <c r="AN1298" s="247"/>
      <c r="AO1298" s="247"/>
      <c r="AP1298" s="247"/>
      <c r="AQ1298" s="247"/>
      <c r="AR1298" s="247"/>
      <c r="AS1298" s="247"/>
      <c r="AT1298" s="247"/>
      <c r="AU1298" s="247"/>
      <c r="AW1298" s="116"/>
    </row>
    <row r="1299" spans="39:49" ht="13.5" customHeight="1">
      <c r="AM1299" s="247"/>
      <c r="AN1299" s="247"/>
      <c r="AO1299" s="247"/>
      <c r="AP1299" s="247"/>
      <c r="AQ1299" s="247"/>
      <c r="AR1299" s="247"/>
      <c r="AS1299" s="247"/>
      <c r="AT1299" s="247"/>
      <c r="AU1299" s="247"/>
      <c r="AW1299" s="116"/>
    </row>
    <row r="1300" spans="39:49" ht="24" customHeight="1">
      <c r="AM1300" s="247"/>
      <c r="AN1300" s="247"/>
      <c r="AO1300" s="247"/>
      <c r="AP1300" s="247"/>
      <c r="AQ1300" s="247"/>
      <c r="AR1300" s="247"/>
      <c r="AS1300" s="247"/>
      <c r="AT1300" s="247"/>
      <c r="AU1300" s="247"/>
      <c r="AW1300" s="116"/>
    </row>
    <row r="1301" spans="39:49" ht="13.5" customHeight="1">
      <c r="AM1301" s="247"/>
      <c r="AN1301" s="247"/>
      <c r="AO1301" s="247"/>
      <c r="AP1301" s="247"/>
      <c r="AQ1301" s="247"/>
      <c r="AR1301" s="247"/>
      <c r="AS1301" s="247"/>
      <c r="AT1301" s="247"/>
      <c r="AU1301" s="247"/>
      <c r="AW1301" s="116"/>
    </row>
    <row r="1302" spans="39:49" ht="24" customHeight="1">
      <c r="AM1302" s="247"/>
      <c r="AN1302" s="247"/>
      <c r="AO1302" s="247"/>
      <c r="AP1302" s="247"/>
      <c r="AQ1302" s="247"/>
      <c r="AR1302" s="247"/>
      <c r="AS1302" s="247"/>
      <c r="AT1302" s="247"/>
      <c r="AU1302" s="247"/>
      <c r="AW1302" s="116"/>
    </row>
    <row r="1303" spans="39:49" ht="13.5" customHeight="1">
      <c r="AM1303" s="247"/>
      <c r="AN1303" s="247"/>
      <c r="AO1303" s="247"/>
      <c r="AP1303" s="247"/>
      <c r="AQ1303" s="247"/>
      <c r="AR1303" s="247"/>
      <c r="AS1303" s="247"/>
      <c r="AT1303" s="247"/>
      <c r="AU1303" s="247"/>
      <c r="AW1303" s="116"/>
    </row>
    <row r="1304" spans="39:49" ht="24" customHeight="1">
      <c r="AM1304" s="247"/>
      <c r="AN1304" s="247"/>
      <c r="AO1304" s="247"/>
      <c r="AP1304" s="247"/>
      <c r="AQ1304" s="247"/>
      <c r="AR1304" s="247"/>
      <c r="AS1304" s="247"/>
      <c r="AT1304" s="247"/>
      <c r="AU1304" s="247"/>
      <c r="AW1304" s="116"/>
    </row>
    <row r="1305" spans="39:49" ht="13.5" customHeight="1">
      <c r="AM1305" s="247"/>
      <c r="AN1305" s="247"/>
      <c r="AO1305" s="247"/>
      <c r="AP1305" s="247"/>
      <c r="AQ1305" s="247"/>
      <c r="AR1305" s="247"/>
      <c r="AS1305" s="247"/>
      <c r="AT1305" s="247"/>
      <c r="AU1305" s="247"/>
      <c r="AW1305" s="116"/>
    </row>
    <row r="1306" spans="39:49" ht="24" customHeight="1">
      <c r="AM1306" s="247"/>
      <c r="AN1306" s="247"/>
      <c r="AO1306" s="247"/>
      <c r="AP1306" s="247"/>
      <c r="AQ1306" s="247"/>
      <c r="AR1306" s="247"/>
      <c r="AS1306" s="247"/>
      <c r="AT1306" s="247"/>
      <c r="AU1306" s="247"/>
      <c r="AW1306" s="116"/>
    </row>
    <row r="1307" spans="39:49" ht="13.5" customHeight="1">
      <c r="AM1307" s="247"/>
      <c r="AN1307" s="247"/>
      <c r="AO1307" s="247"/>
      <c r="AP1307" s="247"/>
      <c r="AQ1307" s="247"/>
      <c r="AR1307" s="247"/>
      <c r="AS1307" s="247"/>
      <c r="AT1307" s="247"/>
      <c r="AU1307" s="247"/>
      <c r="AW1307" s="116"/>
    </row>
    <row r="1308" spans="39:49" ht="24" customHeight="1">
      <c r="AM1308" s="247"/>
      <c r="AN1308" s="247"/>
      <c r="AO1308" s="247"/>
      <c r="AP1308" s="247"/>
      <c r="AQ1308" s="247"/>
      <c r="AR1308" s="247"/>
      <c r="AS1308" s="247"/>
      <c r="AT1308" s="247"/>
      <c r="AU1308" s="247"/>
      <c r="AW1308" s="116"/>
    </row>
    <row r="1309" spans="39:49" ht="13.5" customHeight="1">
      <c r="AM1309" s="247"/>
      <c r="AN1309" s="247"/>
      <c r="AO1309" s="247"/>
      <c r="AP1309" s="247"/>
      <c r="AQ1309" s="247"/>
      <c r="AR1309" s="247"/>
      <c r="AS1309" s="247"/>
      <c r="AT1309" s="247"/>
      <c r="AU1309" s="247"/>
      <c r="AW1309" s="116"/>
    </row>
    <row r="1310" spans="39:49" ht="24" customHeight="1">
      <c r="AM1310" s="247"/>
      <c r="AN1310" s="247"/>
      <c r="AO1310" s="247"/>
      <c r="AP1310" s="247"/>
      <c r="AQ1310" s="247"/>
      <c r="AR1310" s="247"/>
      <c r="AS1310" s="247"/>
      <c r="AT1310" s="247"/>
      <c r="AU1310" s="247"/>
      <c r="AW1310" s="116"/>
    </row>
    <row r="1311" spans="39:49" ht="13.5" customHeight="1">
      <c r="AM1311" s="247"/>
      <c r="AN1311" s="247"/>
      <c r="AO1311" s="247"/>
      <c r="AP1311" s="247"/>
      <c r="AQ1311" s="247"/>
      <c r="AR1311" s="247"/>
      <c r="AS1311" s="247"/>
      <c r="AT1311" s="247"/>
      <c r="AU1311" s="247"/>
      <c r="AW1311" s="116"/>
    </row>
    <row r="1312" spans="39:49" ht="24" customHeight="1">
      <c r="AM1312" s="247"/>
      <c r="AN1312" s="247"/>
      <c r="AO1312" s="247"/>
      <c r="AP1312" s="247"/>
      <c r="AQ1312" s="247"/>
      <c r="AR1312" s="247"/>
      <c r="AS1312" s="247"/>
      <c r="AT1312" s="247"/>
      <c r="AU1312" s="247"/>
      <c r="AW1312" s="116"/>
    </row>
    <row r="1313" spans="39:49" ht="13.5" customHeight="1">
      <c r="AM1313" s="247"/>
      <c r="AN1313" s="247"/>
      <c r="AO1313" s="247"/>
      <c r="AP1313" s="247"/>
      <c r="AQ1313" s="247"/>
      <c r="AR1313" s="247"/>
      <c r="AS1313" s="247"/>
      <c r="AT1313" s="247"/>
      <c r="AU1313" s="247"/>
      <c r="AW1313" s="116"/>
    </row>
    <row r="1314" spans="39:49" ht="24" customHeight="1">
      <c r="AM1314" s="247"/>
      <c r="AN1314" s="247"/>
      <c r="AO1314" s="247"/>
      <c r="AP1314" s="247"/>
      <c r="AQ1314" s="247"/>
      <c r="AR1314" s="247"/>
      <c r="AS1314" s="247"/>
      <c r="AT1314" s="247"/>
      <c r="AU1314" s="247"/>
      <c r="AW1314" s="116"/>
    </row>
    <row r="1315" spans="39:49" ht="13.5" customHeight="1">
      <c r="AM1315" s="247"/>
      <c r="AN1315" s="247"/>
      <c r="AO1315" s="247"/>
      <c r="AP1315" s="247"/>
      <c r="AQ1315" s="247"/>
      <c r="AR1315" s="247"/>
      <c r="AS1315" s="247"/>
      <c r="AT1315" s="247"/>
      <c r="AU1315" s="247"/>
      <c r="AW1315" s="116"/>
    </row>
    <row r="1316" spans="39:49" ht="24" customHeight="1">
      <c r="AM1316" s="247"/>
      <c r="AN1316" s="247"/>
      <c r="AO1316" s="247"/>
      <c r="AP1316" s="247"/>
      <c r="AQ1316" s="247"/>
      <c r="AR1316" s="247"/>
      <c r="AS1316" s="247"/>
      <c r="AT1316" s="247"/>
      <c r="AU1316" s="247"/>
      <c r="AW1316" s="116"/>
    </row>
    <row r="1317" spans="39:49" ht="13.5" customHeight="1">
      <c r="AM1317" s="247"/>
      <c r="AN1317" s="247"/>
      <c r="AO1317" s="247"/>
      <c r="AP1317" s="247"/>
      <c r="AQ1317" s="247"/>
      <c r="AR1317" s="247"/>
      <c r="AS1317" s="247"/>
      <c r="AT1317" s="247"/>
      <c r="AU1317" s="247"/>
      <c r="AW1317" s="116"/>
    </row>
    <row r="1318" spans="39:49" ht="24" customHeight="1">
      <c r="AM1318" s="247"/>
      <c r="AN1318" s="247"/>
      <c r="AO1318" s="247"/>
      <c r="AP1318" s="247"/>
      <c r="AQ1318" s="247"/>
      <c r="AR1318" s="247"/>
      <c r="AS1318" s="247"/>
      <c r="AT1318" s="247"/>
      <c r="AU1318" s="247"/>
      <c r="AW1318" s="116"/>
    </row>
    <row r="1319" spans="39:49" ht="13.5" customHeight="1">
      <c r="AM1319" s="247"/>
      <c r="AN1319" s="247"/>
      <c r="AO1319" s="247"/>
      <c r="AP1319" s="247"/>
      <c r="AQ1319" s="247"/>
      <c r="AR1319" s="247"/>
      <c r="AS1319" s="247"/>
      <c r="AT1319" s="247"/>
      <c r="AU1319" s="247"/>
      <c r="AW1319" s="116"/>
    </row>
    <row r="1320" spans="39:49" ht="24" customHeight="1">
      <c r="AM1320" s="247"/>
      <c r="AN1320" s="247"/>
      <c r="AO1320" s="247"/>
      <c r="AP1320" s="247"/>
      <c r="AQ1320" s="247"/>
      <c r="AR1320" s="247"/>
      <c r="AS1320" s="247"/>
      <c r="AT1320" s="247"/>
      <c r="AU1320" s="247"/>
      <c r="AW1320" s="116"/>
    </row>
    <row r="1321" spans="39:49" ht="13.5" customHeight="1">
      <c r="AM1321" s="247"/>
      <c r="AN1321" s="247"/>
      <c r="AO1321" s="247"/>
      <c r="AP1321" s="247"/>
      <c r="AQ1321" s="247"/>
      <c r="AR1321" s="247"/>
      <c r="AS1321" s="247"/>
      <c r="AT1321" s="247"/>
      <c r="AU1321" s="247"/>
      <c r="AW1321" s="116"/>
    </row>
    <row r="1322" spans="39:49" ht="24" customHeight="1">
      <c r="AM1322" s="247"/>
      <c r="AN1322" s="247"/>
      <c r="AO1322" s="247"/>
      <c r="AP1322" s="247"/>
      <c r="AQ1322" s="247"/>
      <c r="AR1322" s="247"/>
      <c r="AS1322" s="247"/>
      <c r="AT1322" s="247"/>
      <c r="AU1322" s="247"/>
      <c r="AW1322" s="116"/>
    </row>
    <row r="1323" spans="39:49" ht="13.5" customHeight="1">
      <c r="AM1323" s="247"/>
      <c r="AN1323" s="247"/>
      <c r="AO1323" s="247"/>
      <c r="AP1323" s="247"/>
      <c r="AQ1323" s="247"/>
      <c r="AR1323" s="247"/>
      <c r="AS1323" s="247"/>
      <c r="AT1323" s="247"/>
      <c r="AU1323" s="247"/>
      <c r="AW1323" s="116"/>
    </row>
    <row r="1324" spans="39:49" ht="24" customHeight="1">
      <c r="AM1324" s="247"/>
      <c r="AN1324" s="247"/>
      <c r="AO1324" s="247"/>
      <c r="AP1324" s="247"/>
      <c r="AQ1324" s="247"/>
      <c r="AR1324" s="247"/>
      <c r="AS1324" s="247"/>
      <c r="AT1324" s="247"/>
      <c r="AU1324" s="247"/>
      <c r="AW1324" s="116"/>
    </row>
    <row r="1325" spans="39:49" ht="13.5" customHeight="1">
      <c r="AM1325" s="247"/>
      <c r="AN1325" s="247"/>
      <c r="AO1325" s="247"/>
      <c r="AP1325" s="247"/>
      <c r="AQ1325" s="247"/>
      <c r="AR1325" s="247"/>
      <c r="AS1325" s="247"/>
      <c r="AT1325" s="247"/>
      <c r="AU1325" s="247"/>
      <c r="AW1325" s="116"/>
    </row>
    <row r="1326" spans="39:49" ht="24" customHeight="1">
      <c r="AM1326" s="247"/>
      <c r="AN1326" s="247"/>
      <c r="AO1326" s="247"/>
      <c r="AP1326" s="247"/>
      <c r="AQ1326" s="247"/>
      <c r="AR1326" s="247"/>
      <c r="AS1326" s="247"/>
      <c r="AT1326" s="247"/>
      <c r="AU1326" s="247"/>
      <c r="AW1326" s="116"/>
    </row>
    <row r="1327" spans="39:49" ht="13.5" customHeight="1">
      <c r="AM1327" s="247"/>
      <c r="AN1327" s="247"/>
      <c r="AO1327" s="247"/>
      <c r="AP1327" s="247"/>
      <c r="AQ1327" s="247"/>
      <c r="AR1327" s="247"/>
      <c r="AS1327" s="247"/>
      <c r="AT1327" s="247"/>
      <c r="AU1327" s="247"/>
      <c r="AW1327" s="116"/>
    </row>
    <row r="1328" spans="39:49" ht="24" customHeight="1">
      <c r="AM1328" s="247"/>
      <c r="AN1328" s="247"/>
      <c r="AO1328" s="247"/>
      <c r="AP1328" s="247"/>
      <c r="AQ1328" s="247"/>
      <c r="AR1328" s="247"/>
      <c r="AS1328" s="247"/>
      <c r="AT1328" s="247"/>
      <c r="AU1328" s="247"/>
      <c r="AW1328" s="116"/>
    </row>
    <row r="1329" spans="39:49" ht="13.5" customHeight="1">
      <c r="AM1329" s="247"/>
      <c r="AN1329" s="247"/>
      <c r="AO1329" s="247"/>
      <c r="AP1329" s="247"/>
      <c r="AQ1329" s="247"/>
      <c r="AR1329" s="247"/>
      <c r="AS1329" s="247"/>
      <c r="AT1329" s="247"/>
      <c r="AU1329" s="247"/>
      <c r="AW1329" s="116"/>
    </row>
    <row r="1330" spans="39:49" ht="24" customHeight="1">
      <c r="AM1330" s="247"/>
      <c r="AN1330" s="247"/>
      <c r="AO1330" s="247"/>
      <c r="AP1330" s="247"/>
      <c r="AQ1330" s="247"/>
      <c r="AR1330" s="247"/>
      <c r="AS1330" s="247"/>
      <c r="AT1330" s="247"/>
      <c r="AU1330" s="247"/>
      <c r="AW1330" s="116"/>
    </row>
    <row r="1331" spans="39:49" ht="13.5" customHeight="1">
      <c r="AM1331" s="247"/>
      <c r="AN1331" s="247"/>
      <c r="AO1331" s="247"/>
      <c r="AP1331" s="247"/>
      <c r="AQ1331" s="247"/>
      <c r="AR1331" s="247"/>
      <c r="AS1331" s="247"/>
      <c r="AT1331" s="247"/>
      <c r="AU1331" s="247"/>
      <c r="AW1331" s="116"/>
    </row>
    <row r="1332" spans="39:49" ht="24" customHeight="1">
      <c r="AM1332" s="247"/>
      <c r="AN1332" s="247"/>
      <c r="AO1332" s="247"/>
      <c r="AP1332" s="247"/>
      <c r="AQ1332" s="247"/>
      <c r="AR1332" s="247"/>
      <c r="AS1332" s="247"/>
      <c r="AT1332" s="247"/>
      <c r="AU1332" s="247"/>
      <c r="AW1332" s="116"/>
    </row>
    <row r="1333" spans="39:49" ht="13.5" customHeight="1">
      <c r="AM1333" s="247"/>
      <c r="AN1333" s="247"/>
      <c r="AO1333" s="247"/>
      <c r="AP1333" s="247"/>
      <c r="AQ1333" s="247"/>
      <c r="AR1333" s="247"/>
      <c r="AS1333" s="247"/>
      <c r="AT1333" s="247"/>
      <c r="AU1333" s="247"/>
      <c r="AW1333" s="116"/>
    </row>
    <row r="1334" spans="39:49" ht="24" customHeight="1">
      <c r="AM1334" s="247"/>
      <c r="AN1334" s="247"/>
      <c r="AO1334" s="247"/>
      <c r="AP1334" s="247"/>
      <c r="AQ1334" s="247"/>
      <c r="AR1334" s="247"/>
      <c r="AS1334" s="247"/>
      <c r="AT1334" s="247"/>
      <c r="AU1334" s="247"/>
      <c r="AW1334" s="116"/>
    </row>
    <row r="1335" spans="39:49" ht="13.5" customHeight="1">
      <c r="AM1335" s="247"/>
      <c r="AN1335" s="247"/>
      <c r="AO1335" s="247"/>
      <c r="AP1335" s="247"/>
      <c r="AQ1335" s="247"/>
      <c r="AR1335" s="247"/>
      <c r="AS1335" s="247"/>
      <c r="AT1335" s="247"/>
      <c r="AU1335" s="247"/>
      <c r="AW1335" s="116"/>
    </row>
    <row r="1336" spans="39:49" ht="24" customHeight="1">
      <c r="AM1336" s="247"/>
      <c r="AN1336" s="247"/>
      <c r="AO1336" s="247"/>
      <c r="AP1336" s="247"/>
      <c r="AQ1336" s="247"/>
      <c r="AR1336" s="247"/>
      <c r="AS1336" s="247"/>
      <c r="AT1336" s="247"/>
      <c r="AU1336" s="247"/>
      <c r="AW1336" s="116"/>
    </row>
    <row r="1337" spans="39:49" ht="13.5" customHeight="1">
      <c r="AM1337" s="247"/>
      <c r="AN1337" s="247"/>
      <c r="AO1337" s="247"/>
      <c r="AP1337" s="247"/>
      <c r="AQ1337" s="247"/>
      <c r="AR1337" s="247"/>
      <c r="AS1337" s="247"/>
      <c r="AT1337" s="247"/>
      <c r="AU1337" s="247"/>
      <c r="AW1337" s="116"/>
    </row>
    <row r="1338" spans="39:49" ht="24" customHeight="1">
      <c r="AM1338" s="247"/>
      <c r="AN1338" s="247"/>
      <c r="AO1338" s="247"/>
      <c r="AP1338" s="247"/>
      <c r="AQ1338" s="247"/>
      <c r="AR1338" s="247"/>
      <c r="AS1338" s="247"/>
      <c r="AT1338" s="247"/>
      <c r="AU1338" s="247"/>
      <c r="AW1338" s="116"/>
    </row>
    <row r="1339" spans="39:49" ht="13.5" customHeight="1">
      <c r="AM1339" s="247"/>
      <c r="AN1339" s="247"/>
      <c r="AO1339" s="247"/>
      <c r="AP1339" s="247"/>
      <c r="AQ1339" s="247"/>
      <c r="AR1339" s="247"/>
      <c r="AS1339" s="247"/>
      <c r="AT1339" s="247"/>
      <c r="AU1339" s="247"/>
      <c r="AW1339" s="116"/>
    </row>
    <row r="1340" spans="39:49" ht="24" customHeight="1">
      <c r="AM1340" s="247"/>
      <c r="AN1340" s="247"/>
      <c r="AO1340" s="247"/>
      <c r="AP1340" s="247"/>
      <c r="AQ1340" s="247"/>
      <c r="AR1340" s="247"/>
      <c r="AS1340" s="247"/>
      <c r="AT1340" s="247"/>
      <c r="AU1340" s="247"/>
      <c r="AW1340" s="116"/>
    </row>
    <row r="1341" spans="39:49" ht="13.5" customHeight="1">
      <c r="AM1341" s="247"/>
      <c r="AN1341" s="247"/>
      <c r="AO1341" s="247"/>
      <c r="AP1341" s="247"/>
      <c r="AQ1341" s="247"/>
      <c r="AR1341" s="247"/>
      <c r="AS1341" s="247"/>
      <c r="AT1341" s="247"/>
      <c r="AU1341" s="247"/>
      <c r="AW1341" s="116"/>
    </row>
    <row r="1342" spans="39:49" ht="24" customHeight="1">
      <c r="AM1342" s="247"/>
      <c r="AN1342" s="247"/>
      <c r="AO1342" s="247"/>
      <c r="AP1342" s="247"/>
      <c r="AQ1342" s="247"/>
      <c r="AR1342" s="247"/>
      <c r="AS1342" s="247"/>
      <c r="AT1342" s="247"/>
      <c r="AU1342" s="247"/>
      <c r="AW1342" s="116"/>
    </row>
    <row r="1343" spans="39:49" ht="13.5" customHeight="1">
      <c r="AM1343" s="247"/>
      <c r="AN1343" s="247"/>
      <c r="AO1343" s="247"/>
      <c r="AP1343" s="247"/>
      <c r="AQ1343" s="247"/>
      <c r="AR1343" s="247"/>
      <c r="AS1343" s="247"/>
      <c r="AT1343" s="247"/>
      <c r="AU1343" s="247"/>
      <c r="AW1343" s="116"/>
    </row>
    <row r="1344" spans="39:49" ht="24" customHeight="1">
      <c r="AM1344" s="247"/>
      <c r="AN1344" s="247"/>
      <c r="AO1344" s="247"/>
      <c r="AP1344" s="247"/>
      <c r="AQ1344" s="247"/>
      <c r="AR1344" s="247"/>
      <c r="AS1344" s="247"/>
      <c r="AT1344" s="247"/>
      <c r="AU1344" s="247"/>
      <c r="AW1344" s="116"/>
    </row>
    <row r="1345" spans="39:49" ht="13.5" customHeight="1">
      <c r="AM1345" s="247"/>
      <c r="AN1345" s="247"/>
      <c r="AO1345" s="247"/>
      <c r="AP1345" s="247"/>
      <c r="AQ1345" s="247"/>
      <c r="AR1345" s="247"/>
      <c r="AS1345" s="247"/>
      <c r="AT1345" s="247"/>
      <c r="AU1345" s="247"/>
      <c r="AW1345" s="116"/>
    </row>
    <row r="1346" spans="39:49" ht="24" customHeight="1">
      <c r="AM1346" s="247"/>
      <c r="AN1346" s="247"/>
      <c r="AO1346" s="247"/>
      <c r="AP1346" s="247"/>
      <c r="AQ1346" s="247"/>
      <c r="AR1346" s="247"/>
      <c r="AS1346" s="247"/>
      <c r="AT1346" s="247"/>
      <c r="AU1346" s="247"/>
      <c r="AW1346" s="116"/>
    </row>
    <row r="1347" spans="39:49" ht="13.5" customHeight="1">
      <c r="AM1347" s="247"/>
      <c r="AN1347" s="247"/>
      <c r="AO1347" s="247"/>
      <c r="AP1347" s="247"/>
      <c r="AQ1347" s="247"/>
      <c r="AR1347" s="247"/>
      <c r="AS1347" s="247"/>
      <c r="AT1347" s="247"/>
      <c r="AU1347" s="247"/>
      <c r="AW1347" s="116"/>
    </row>
    <row r="1348" spans="39:49" ht="24" customHeight="1">
      <c r="AM1348" s="247"/>
      <c r="AN1348" s="247"/>
      <c r="AO1348" s="247"/>
      <c r="AP1348" s="247"/>
      <c r="AQ1348" s="247"/>
      <c r="AR1348" s="247"/>
      <c r="AS1348" s="247"/>
      <c r="AT1348" s="247"/>
      <c r="AU1348" s="247"/>
      <c r="AW1348" s="116"/>
    </row>
    <row r="1349" spans="39:49" ht="13.5" customHeight="1">
      <c r="AM1349" s="247"/>
      <c r="AN1349" s="247"/>
      <c r="AO1349" s="247"/>
      <c r="AP1349" s="247"/>
      <c r="AQ1349" s="247"/>
      <c r="AR1349" s="247"/>
      <c r="AS1349" s="247"/>
      <c r="AT1349" s="247"/>
      <c r="AU1349" s="247"/>
      <c r="AW1349" s="116"/>
    </row>
    <row r="1350" spans="39:49" ht="24" customHeight="1">
      <c r="AM1350" s="247"/>
      <c r="AN1350" s="247"/>
      <c r="AO1350" s="247"/>
      <c r="AP1350" s="247"/>
      <c r="AQ1350" s="247"/>
      <c r="AR1350" s="247"/>
      <c r="AS1350" s="247"/>
      <c r="AT1350" s="247"/>
      <c r="AU1350" s="247"/>
      <c r="AW1350" s="116"/>
    </row>
    <row r="1351" spans="39:49" ht="13.5" customHeight="1">
      <c r="AM1351" s="247"/>
      <c r="AN1351" s="247"/>
      <c r="AO1351" s="247"/>
      <c r="AP1351" s="247"/>
      <c r="AQ1351" s="247"/>
      <c r="AR1351" s="247"/>
      <c r="AS1351" s="247"/>
      <c r="AT1351" s="247"/>
      <c r="AU1351" s="247"/>
      <c r="AW1351" s="116"/>
    </row>
    <row r="1352" spans="39:49" ht="24" customHeight="1">
      <c r="AM1352" s="247"/>
      <c r="AN1352" s="247"/>
      <c r="AO1352" s="247"/>
      <c r="AP1352" s="247"/>
      <c r="AQ1352" s="247"/>
      <c r="AR1352" s="247"/>
      <c r="AS1352" s="247"/>
      <c r="AT1352" s="247"/>
      <c r="AU1352" s="247"/>
      <c r="AW1352" s="116"/>
    </row>
    <row r="1353" spans="39:49" ht="13.5" customHeight="1">
      <c r="AM1353" s="247"/>
      <c r="AN1353" s="247"/>
      <c r="AO1353" s="247"/>
      <c r="AP1353" s="247"/>
      <c r="AQ1353" s="247"/>
      <c r="AR1353" s="247"/>
      <c r="AS1353" s="247"/>
      <c r="AT1353" s="247"/>
      <c r="AU1353" s="247"/>
      <c r="AW1353" s="116"/>
    </row>
    <row r="1354" spans="39:49" ht="24" customHeight="1">
      <c r="AM1354" s="247"/>
      <c r="AN1354" s="247"/>
      <c r="AO1354" s="247"/>
      <c r="AP1354" s="247"/>
      <c r="AQ1354" s="247"/>
      <c r="AR1354" s="247"/>
      <c r="AS1354" s="247"/>
      <c r="AT1354" s="247"/>
      <c r="AU1354" s="247"/>
      <c r="AW1354" s="116"/>
    </row>
    <row r="1355" spans="39:49" ht="13.5" customHeight="1">
      <c r="AM1355" s="247"/>
      <c r="AN1355" s="247"/>
      <c r="AO1355" s="247"/>
      <c r="AP1355" s="247"/>
      <c r="AQ1355" s="247"/>
      <c r="AR1355" s="247"/>
      <c r="AS1355" s="247"/>
      <c r="AT1355" s="247"/>
      <c r="AU1355" s="247"/>
      <c r="AW1355" s="116"/>
    </row>
    <row r="1356" spans="39:49" ht="24" customHeight="1">
      <c r="AM1356" s="247"/>
      <c r="AN1356" s="247"/>
      <c r="AO1356" s="247"/>
      <c r="AP1356" s="247"/>
      <c r="AQ1356" s="247"/>
      <c r="AR1356" s="247"/>
      <c r="AS1356" s="247"/>
      <c r="AT1356" s="247"/>
      <c r="AU1356" s="247"/>
      <c r="AW1356" s="116"/>
    </row>
    <row r="1357" spans="39:49" ht="13.5" customHeight="1">
      <c r="AM1357" s="247"/>
      <c r="AN1357" s="247"/>
      <c r="AO1357" s="247"/>
      <c r="AP1357" s="247"/>
      <c r="AQ1357" s="247"/>
      <c r="AR1357" s="247"/>
      <c r="AS1357" s="247"/>
      <c r="AT1357" s="247"/>
      <c r="AU1357" s="247"/>
      <c r="AW1357" s="116"/>
    </row>
    <row r="1358" spans="39:49" ht="24" customHeight="1">
      <c r="AM1358" s="247"/>
      <c r="AN1358" s="247"/>
      <c r="AO1358" s="247"/>
      <c r="AP1358" s="247"/>
      <c r="AQ1358" s="247"/>
      <c r="AR1358" s="247"/>
      <c r="AS1358" s="247"/>
      <c r="AT1358" s="247"/>
      <c r="AU1358" s="247"/>
      <c r="AW1358" s="116"/>
    </row>
    <row r="1359" spans="39:49" ht="13.5" customHeight="1">
      <c r="AM1359" s="247"/>
      <c r="AN1359" s="247"/>
      <c r="AO1359" s="247"/>
      <c r="AP1359" s="247"/>
      <c r="AQ1359" s="247"/>
      <c r="AR1359" s="247"/>
      <c r="AS1359" s="247"/>
      <c r="AT1359" s="247"/>
      <c r="AU1359" s="247"/>
      <c r="AW1359" s="116"/>
    </row>
    <row r="1360" spans="39:49" ht="24" customHeight="1">
      <c r="AM1360" s="247"/>
      <c r="AN1360" s="247"/>
      <c r="AO1360" s="247"/>
      <c r="AP1360" s="247"/>
      <c r="AQ1360" s="247"/>
      <c r="AR1360" s="247"/>
      <c r="AS1360" s="247"/>
      <c r="AT1360" s="247"/>
      <c r="AU1360" s="247"/>
      <c r="AW1360" s="116"/>
    </row>
    <row r="1361" spans="39:49" ht="13.5" customHeight="1">
      <c r="AM1361" s="247"/>
      <c r="AN1361" s="247"/>
      <c r="AO1361" s="247"/>
      <c r="AP1361" s="247"/>
      <c r="AQ1361" s="247"/>
      <c r="AR1361" s="247"/>
      <c r="AS1361" s="247"/>
      <c r="AT1361" s="247"/>
      <c r="AU1361" s="247"/>
      <c r="AW1361" s="116"/>
    </row>
    <row r="1362" spans="39:49" ht="24" customHeight="1">
      <c r="AM1362" s="247"/>
      <c r="AN1362" s="247"/>
      <c r="AO1362" s="247"/>
      <c r="AP1362" s="247"/>
      <c r="AQ1362" s="247"/>
      <c r="AR1362" s="247"/>
      <c r="AS1362" s="247"/>
      <c r="AT1362" s="247"/>
      <c r="AU1362" s="247"/>
      <c r="AW1362" s="116"/>
    </row>
    <row r="1363" spans="39:49" ht="13.5" customHeight="1">
      <c r="AM1363" s="247"/>
      <c r="AN1363" s="247"/>
      <c r="AO1363" s="247"/>
      <c r="AP1363" s="247"/>
      <c r="AQ1363" s="247"/>
      <c r="AR1363" s="247"/>
      <c r="AS1363" s="247"/>
      <c r="AT1363" s="247"/>
      <c r="AU1363" s="247"/>
      <c r="AW1363" s="116"/>
    </row>
    <row r="1364" spans="39:49" ht="24" customHeight="1">
      <c r="AM1364" s="247"/>
      <c r="AN1364" s="247"/>
      <c r="AO1364" s="247"/>
      <c r="AP1364" s="247"/>
      <c r="AQ1364" s="247"/>
      <c r="AR1364" s="247"/>
      <c r="AS1364" s="247"/>
      <c r="AT1364" s="247"/>
      <c r="AU1364" s="247"/>
      <c r="AW1364" s="116"/>
    </row>
    <row r="1365" spans="39:49" ht="13.5" customHeight="1">
      <c r="AM1365" s="247"/>
      <c r="AN1365" s="247"/>
      <c r="AO1365" s="247"/>
      <c r="AP1365" s="247"/>
      <c r="AQ1365" s="247"/>
      <c r="AR1365" s="247"/>
      <c r="AS1365" s="247"/>
      <c r="AT1365" s="247"/>
      <c r="AU1365" s="247"/>
      <c r="AW1365" s="116"/>
    </row>
    <row r="1366" spans="39:49" ht="24" customHeight="1">
      <c r="AM1366" s="247"/>
      <c r="AN1366" s="247"/>
      <c r="AO1366" s="247"/>
      <c r="AP1366" s="247"/>
      <c r="AQ1366" s="247"/>
      <c r="AR1366" s="247"/>
      <c r="AS1366" s="247"/>
      <c r="AT1366" s="247"/>
      <c r="AU1366" s="247"/>
      <c r="AW1366" s="116"/>
    </row>
    <row r="1367" spans="39:49" ht="13.5" customHeight="1">
      <c r="AM1367" s="247"/>
      <c r="AN1367" s="247"/>
      <c r="AO1367" s="247"/>
      <c r="AP1367" s="247"/>
      <c r="AQ1367" s="247"/>
      <c r="AR1367" s="247"/>
      <c r="AS1367" s="247"/>
      <c r="AT1367" s="247"/>
      <c r="AU1367" s="247"/>
      <c r="AW1367" s="116"/>
    </row>
    <row r="1368" spans="39:49" ht="24" customHeight="1">
      <c r="AM1368" s="247"/>
      <c r="AN1368" s="247"/>
      <c r="AO1368" s="247"/>
      <c r="AP1368" s="247"/>
      <c r="AQ1368" s="247"/>
      <c r="AR1368" s="247"/>
      <c r="AS1368" s="247"/>
      <c r="AT1368" s="247"/>
      <c r="AU1368" s="247"/>
      <c r="AW1368" s="116"/>
    </row>
    <row r="1369" spans="39:49" ht="13.5" customHeight="1">
      <c r="AM1369" s="247"/>
      <c r="AN1369" s="247"/>
      <c r="AO1369" s="247"/>
      <c r="AP1369" s="247"/>
      <c r="AQ1369" s="247"/>
      <c r="AR1369" s="247"/>
      <c r="AS1369" s="247"/>
      <c r="AT1369" s="247"/>
      <c r="AU1369" s="247"/>
      <c r="AW1369" s="116"/>
    </row>
    <row r="1370" spans="39:49" ht="24" customHeight="1">
      <c r="AM1370" s="247"/>
      <c r="AN1370" s="247"/>
      <c r="AO1370" s="247"/>
      <c r="AP1370" s="247"/>
      <c r="AQ1370" s="247"/>
      <c r="AR1370" s="247"/>
      <c r="AS1370" s="247"/>
      <c r="AT1370" s="247"/>
      <c r="AU1370" s="247"/>
      <c r="AW1370" s="116"/>
    </row>
    <row r="1371" spans="39:49" ht="13.5" customHeight="1">
      <c r="AM1371" s="247"/>
      <c r="AN1371" s="247"/>
      <c r="AO1371" s="247"/>
      <c r="AP1371" s="247"/>
      <c r="AQ1371" s="247"/>
      <c r="AR1371" s="247"/>
      <c r="AS1371" s="247"/>
      <c r="AT1371" s="247"/>
      <c r="AU1371" s="247"/>
      <c r="AW1371" s="116"/>
    </row>
    <row r="1372" spans="39:49" ht="24" customHeight="1">
      <c r="AM1372" s="247"/>
      <c r="AN1372" s="247"/>
      <c r="AO1372" s="247"/>
      <c r="AP1372" s="247"/>
      <c r="AQ1372" s="247"/>
      <c r="AR1372" s="247"/>
      <c r="AS1372" s="247"/>
      <c r="AT1372" s="247"/>
      <c r="AU1372" s="247"/>
      <c r="AW1372" s="116"/>
    </row>
    <row r="1373" spans="39:49" ht="13.5" customHeight="1">
      <c r="AM1373" s="247"/>
      <c r="AN1373" s="247"/>
      <c r="AO1373" s="247"/>
      <c r="AP1373" s="247"/>
      <c r="AQ1373" s="247"/>
      <c r="AR1373" s="247"/>
      <c r="AS1373" s="247"/>
      <c r="AT1373" s="247"/>
      <c r="AU1373" s="247"/>
      <c r="AW1373" s="116"/>
    </row>
    <row r="1374" spans="39:49" ht="24" customHeight="1">
      <c r="AM1374" s="247"/>
      <c r="AN1374" s="247"/>
      <c r="AO1374" s="247"/>
      <c r="AP1374" s="247"/>
      <c r="AQ1374" s="247"/>
      <c r="AR1374" s="247"/>
      <c r="AS1374" s="247"/>
      <c r="AT1374" s="247"/>
      <c r="AU1374" s="247"/>
      <c r="AW1374" s="116"/>
    </row>
    <row r="1375" spans="39:49" ht="13.5" customHeight="1">
      <c r="AM1375" s="247"/>
      <c r="AN1375" s="247"/>
      <c r="AO1375" s="247"/>
      <c r="AP1375" s="247"/>
      <c r="AQ1375" s="247"/>
      <c r="AR1375" s="247"/>
      <c r="AS1375" s="247"/>
      <c r="AT1375" s="247"/>
      <c r="AU1375" s="247"/>
      <c r="AW1375" s="116"/>
    </row>
    <row r="1376" spans="39:49" ht="24" customHeight="1">
      <c r="AM1376" s="247"/>
      <c r="AN1376" s="247"/>
      <c r="AO1376" s="247"/>
      <c r="AP1376" s="247"/>
      <c r="AQ1376" s="247"/>
      <c r="AR1376" s="247"/>
      <c r="AS1376" s="247"/>
      <c r="AT1376" s="247"/>
      <c r="AU1376" s="247"/>
      <c r="AW1376" s="116"/>
    </row>
    <row r="1377" spans="39:49" ht="13.5" customHeight="1">
      <c r="AM1377" s="247"/>
      <c r="AN1377" s="247"/>
      <c r="AO1377" s="247"/>
      <c r="AP1377" s="247"/>
      <c r="AQ1377" s="247"/>
      <c r="AR1377" s="247"/>
      <c r="AS1377" s="247"/>
      <c r="AT1377" s="247"/>
      <c r="AU1377" s="247"/>
      <c r="AW1377" s="116"/>
    </row>
    <row r="1378" spans="39:49" ht="24" customHeight="1">
      <c r="AM1378" s="247"/>
      <c r="AN1378" s="247"/>
      <c r="AO1378" s="247"/>
      <c r="AP1378" s="247"/>
      <c r="AQ1378" s="247"/>
      <c r="AR1378" s="247"/>
      <c r="AS1378" s="247"/>
      <c r="AT1378" s="247"/>
      <c r="AU1378" s="247"/>
      <c r="AW1378" s="116"/>
    </row>
    <row r="1379" spans="39:49" ht="13.5" customHeight="1">
      <c r="AM1379" s="247"/>
      <c r="AN1379" s="247"/>
      <c r="AO1379" s="247"/>
      <c r="AP1379" s="247"/>
      <c r="AQ1379" s="247"/>
      <c r="AR1379" s="247"/>
      <c r="AS1379" s="247"/>
      <c r="AT1379" s="247"/>
      <c r="AU1379" s="247"/>
      <c r="AW1379" s="116"/>
    </row>
    <row r="1380" spans="39:49" ht="24" customHeight="1">
      <c r="AM1380" s="247"/>
      <c r="AN1380" s="247"/>
      <c r="AO1380" s="247"/>
      <c r="AP1380" s="247"/>
      <c r="AQ1380" s="247"/>
      <c r="AR1380" s="247"/>
      <c r="AS1380" s="247"/>
      <c r="AT1380" s="247"/>
      <c r="AU1380" s="247"/>
      <c r="AW1380" s="116"/>
    </row>
    <row r="1381" spans="39:49" ht="13.5" customHeight="1">
      <c r="AM1381" s="247"/>
      <c r="AN1381" s="247"/>
      <c r="AO1381" s="247"/>
      <c r="AP1381" s="247"/>
      <c r="AQ1381" s="247"/>
      <c r="AR1381" s="247"/>
      <c r="AS1381" s="247"/>
      <c r="AT1381" s="247"/>
      <c r="AU1381" s="247"/>
      <c r="AW1381" s="116"/>
    </row>
    <row r="1382" spans="39:49" ht="24" customHeight="1">
      <c r="AM1382" s="247"/>
      <c r="AN1382" s="247"/>
      <c r="AO1382" s="247"/>
      <c r="AP1382" s="247"/>
      <c r="AQ1382" s="247"/>
      <c r="AR1382" s="247"/>
      <c r="AS1382" s="247"/>
      <c r="AT1382" s="247"/>
      <c r="AU1382" s="247"/>
      <c r="AW1382" s="116"/>
    </row>
    <row r="1383" spans="39:49" ht="13.5" customHeight="1">
      <c r="AM1383" s="247"/>
      <c r="AN1383" s="247"/>
      <c r="AO1383" s="247"/>
      <c r="AP1383" s="247"/>
      <c r="AQ1383" s="247"/>
      <c r="AR1383" s="247"/>
      <c r="AS1383" s="247"/>
      <c r="AT1383" s="247"/>
      <c r="AU1383" s="247"/>
      <c r="AW1383" s="116"/>
    </row>
    <row r="1384" spans="39:49" ht="24" customHeight="1">
      <c r="AM1384" s="247"/>
      <c r="AN1384" s="247"/>
      <c r="AO1384" s="247"/>
      <c r="AP1384" s="247"/>
      <c r="AQ1384" s="247"/>
      <c r="AR1384" s="247"/>
      <c r="AS1384" s="247"/>
      <c r="AT1384" s="247"/>
      <c r="AU1384" s="247"/>
      <c r="AW1384" s="116"/>
    </row>
    <row r="1385" spans="39:49" ht="13.5" customHeight="1">
      <c r="AM1385" s="247"/>
      <c r="AN1385" s="247"/>
      <c r="AO1385" s="247"/>
      <c r="AP1385" s="247"/>
      <c r="AQ1385" s="247"/>
      <c r="AR1385" s="247"/>
      <c r="AS1385" s="247"/>
      <c r="AT1385" s="247"/>
      <c r="AU1385" s="247"/>
      <c r="AW1385" s="116"/>
    </row>
    <row r="1386" spans="39:49" ht="24" customHeight="1">
      <c r="AM1386" s="247"/>
      <c r="AN1386" s="247"/>
      <c r="AO1386" s="247"/>
      <c r="AP1386" s="247"/>
      <c r="AQ1386" s="247"/>
      <c r="AR1386" s="247"/>
      <c r="AS1386" s="247"/>
      <c r="AT1386" s="247"/>
      <c r="AU1386" s="247"/>
      <c r="AW1386" s="116"/>
    </row>
    <row r="1387" spans="39:49" ht="13.5" customHeight="1">
      <c r="AM1387" s="247"/>
      <c r="AN1387" s="247"/>
      <c r="AO1387" s="247"/>
      <c r="AP1387" s="247"/>
      <c r="AQ1387" s="247"/>
      <c r="AR1387" s="247"/>
      <c r="AS1387" s="247"/>
      <c r="AT1387" s="247"/>
      <c r="AU1387" s="247"/>
      <c r="AW1387" s="116"/>
    </row>
    <row r="1388" spans="39:49" ht="24" customHeight="1">
      <c r="AM1388" s="247"/>
      <c r="AN1388" s="247"/>
      <c r="AO1388" s="247"/>
      <c r="AP1388" s="247"/>
      <c r="AQ1388" s="247"/>
      <c r="AR1388" s="247"/>
      <c r="AS1388" s="247"/>
      <c r="AT1388" s="247"/>
      <c r="AU1388" s="247"/>
      <c r="AW1388" s="116"/>
    </row>
    <row r="1389" spans="39:49" ht="13.5" customHeight="1">
      <c r="AM1389" s="247"/>
      <c r="AN1389" s="247"/>
      <c r="AO1389" s="247"/>
      <c r="AP1389" s="247"/>
      <c r="AQ1389" s="247"/>
      <c r="AR1389" s="247"/>
      <c r="AS1389" s="247"/>
      <c r="AT1389" s="247"/>
      <c r="AU1389" s="247"/>
      <c r="AW1389" s="116"/>
    </row>
    <row r="1390" spans="39:49" ht="24" customHeight="1">
      <c r="AM1390" s="247"/>
      <c r="AN1390" s="247"/>
      <c r="AO1390" s="247"/>
      <c r="AP1390" s="247"/>
      <c r="AQ1390" s="247"/>
      <c r="AR1390" s="247"/>
      <c r="AS1390" s="247"/>
      <c r="AT1390" s="247"/>
      <c r="AU1390" s="247"/>
      <c r="AW1390" s="116"/>
    </row>
    <row r="1391" spans="39:49" ht="13.5" customHeight="1">
      <c r="AM1391" s="247"/>
      <c r="AN1391" s="247"/>
      <c r="AO1391" s="247"/>
      <c r="AP1391" s="247"/>
      <c r="AQ1391" s="247"/>
      <c r="AR1391" s="247"/>
      <c r="AS1391" s="247"/>
      <c r="AT1391" s="247"/>
      <c r="AU1391" s="247"/>
      <c r="AW1391" s="116"/>
    </row>
    <row r="1392" spans="39:49" ht="24" customHeight="1">
      <c r="AM1392" s="247"/>
      <c r="AN1392" s="247"/>
      <c r="AO1392" s="247"/>
      <c r="AP1392" s="247"/>
      <c r="AQ1392" s="247"/>
      <c r="AR1392" s="247"/>
      <c r="AS1392" s="247"/>
      <c r="AT1392" s="247"/>
      <c r="AU1392" s="247"/>
      <c r="AW1392" s="116"/>
    </row>
    <row r="1393" spans="39:49" ht="13.5" customHeight="1">
      <c r="AM1393" s="247"/>
      <c r="AN1393" s="247"/>
      <c r="AO1393" s="247"/>
      <c r="AP1393" s="247"/>
      <c r="AQ1393" s="247"/>
      <c r="AR1393" s="247"/>
      <c r="AS1393" s="247"/>
      <c r="AT1393" s="247"/>
      <c r="AU1393" s="247"/>
      <c r="AW1393" s="116"/>
    </row>
    <row r="1394" spans="39:49" ht="24" customHeight="1">
      <c r="AM1394" s="247"/>
      <c r="AN1394" s="247"/>
      <c r="AO1394" s="247"/>
      <c r="AP1394" s="247"/>
      <c r="AQ1394" s="247"/>
      <c r="AR1394" s="247"/>
      <c r="AS1394" s="247"/>
      <c r="AT1394" s="247"/>
      <c r="AU1394" s="247"/>
      <c r="AW1394" s="116"/>
    </row>
    <row r="1395" spans="39:49" ht="13.5" customHeight="1">
      <c r="AM1395" s="247"/>
      <c r="AN1395" s="247"/>
      <c r="AO1395" s="247"/>
      <c r="AP1395" s="247"/>
      <c r="AQ1395" s="247"/>
      <c r="AR1395" s="247"/>
      <c r="AS1395" s="247"/>
      <c r="AT1395" s="247"/>
      <c r="AU1395" s="247"/>
      <c r="AW1395" s="116"/>
    </row>
    <row r="1396" spans="39:49" ht="24" customHeight="1">
      <c r="AM1396" s="247"/>
      <c r="AN1396" s="247"/>
      <c r="AO1396" s="247"/>
      <c r="AP1396" s="247"/>
      <c r="AQ1396" s="247"/>
      <c r="AR1396" s="247"/>
      <c r="AS1396" s="247"/>
      <c r="AT1396" s="247"/>
      <c r="AU1396" s="247"/>
      <c r="AW1396" s="116"/>
    </row>
    <row r="1397" spans="39:49" ht="13.5" customHeight="1">
      <c r="AM1397" s="247"/>
      <c r="AN1397" s="247"/>
      <c r="AO1397" s="247"/>
      <c r="AP1397" s="247"/>
      <c r="AQ1397" s="247"/>
      <c r="AR1397" s="247"/>
      <c r="AS1397" s="247"/>
      <c r="AT1397" s="247"/>
      <c r="AU1397" s="247"/>
      <c r="AW1397" s="116"/>
    </row>
    <row r="1398" spans="39:49" ht="24" customHeight="1">
      <c r="AM1398" s="247"/>
      <c r="AN1398" s="247"/>
      <c r="AO1398" s="247"/>
      <c r="AP1398" s="247"/>
      <c r="AQ1398" s="247"/>
      <c r="AR1398" s="247"/>
      <c r="AS1398" s="247"/>
      <c r="AT1398" s="247"/>
      <c r="AU1398" s="247"/>
      <c r="AW1398" s="116"/>
    </row>
    <row r="1399" spans="39:49" ht="13.5" customHeight="1">
      <c r="AM1399" s="247"/>
      <c r="AN1399" s="247"/>
      <c r="AO1399" s="247"/>
      <c r="AP1399" s="247"/>
      <c r="AQ1399" s="247"/>
      <c r="AR1399" s="247"/>
      <c r="AS1399" s="247"/>
      <c r="AT1399" s="247"/>
      <c r="AU1399" s="247"/>
      <c r="AW1399" s="116"/>
    </row>
    <row r="1400" spans="39:49" ht="24" customHeight="1">
      <c r="AM1400" s="247"/>
      <c r="AN1400" s="247"/>
      <c r="AO1400" s="247"/>
      <c r="AP1400" s="247"/>
      <c r="AQ1400" s="247"/>
      <c r="AR1400" s="247"/>
      <c r="AS1400" s="247"/>
      <c r="AT1400" s="247"/>
      <c r="AU1400" s="247"/>
      <c r="AW1400" s="116"/>
    </row>
    <row r="1401" spans="39:49" ht="13.5" customHeight="1">
      <c r="AM1401" s="247"/>
      <c r="AN1401" s="247"/>
      <c r="AO1401" s="247"/>
      <c r="AP1401" s="247"/>
      <c r="AQ1401" s="247"/>
      <c r="AR1401" s="247"/>
      <c r="AS1401" s="247"/>
      <c r="AT1401" s="247"/>
      <c r="AU1401" s="247"/>
      <c r="AW1401" s="116"/>
    </row>
    <row r="1402" spans="39:49" ht="24" customHeight="1">
      <c r="AM1402" s="247"/>
      <c r="AN1402" s="247"/>
      <c r="AO1402" s="247"/>
      <c r="AP1402" s="247"/>
      <c r="AQ1402" s="247"/>
      <c r="AR1402" s="247"/>
      <c r="AS1402" s="247"/>
      <c r="AT1402" s="247"/>
      <c r="AU1402" s="247"/>
      <c r="AW1402" s="116"/>
    </row>
    <row r="1403" spans="39:49" ht="13.5" customHeight="1">
      <c r="AM1403" s="247"/>
      <c r="AN1403" s="247"/>
      <c r="AO1403" s="247"/>
      <c r="AP1403" s="247"/>
      <c r="AQ1403" s="247"/>
      <c r="AR1403" s="247"/>
      <c r="AS1403" s="247"/>
      <c r="AT1403" s="247"/>
      <c r="AU1403" s="247"/>
      <c r="AW1403" s="116"/>
    </row>
    <row r="1404" spans="39:49" ht="24" customHeight="1">
      <c r="AM1404" s="247"/>
      <c r="AN1404" s="247"/>
      <c r="AO1404" s="247"/>
      <c r="AP1404" s="247"/>
      <c r="AQ1404" s="247"/>
      <c r="AR1404" s="247"/>
      <c r="AS1404" s="247"/>
      <c r="AT1404" s="247"/>
      <c r="AU1404" s="247"/>
      <c r="AW1404" s="116"/>
    </row>
    <row r="1405" spans="39:49" ht="13.5" customHeight="1">
      <c r="AM1405" s="247"/>
      <c r="AN1405" s="247"/>
      <c r="AO1405" s="247"/>
      <c r="AP1405" s="247"/>
      <c r="AQ1405" s="247"/>
      <c r="AR1405" s="247"/>
      <c r="AS1405" s="247"/>
      <c r="AT1405" s="247"/>
      <c r="AU1405" s="247"/>
      <c r="AW1405" s="116"/>
    </row>
    <row r="1406" spans="39:49" ht="24" customHeight="1">
      <c r="AM1406" s="247"/>
      <c r="AN1406" s="247"/>
      <c r="AO1406" s="247"/>
      <c r="AP1406" s="247"/>
      <c r="AQ1406" s="247"/>
      <c r="AR1406" s="247"/>
      <c r="AS1406" s="247"/>
      <c r="AT1406" s="247"/>
      <c r="AU1406" s="247"/>
      <c r="AW1406" s="116"/>
    </row>
    <row r="1407" spans="39:49" ht="13.5" customHeight="1">
      <c r="AM1407" s="247"/>
      <c r="AN1407" s="247"/>
      <c r="AO1407" s="247"/>
      <c r="AP1407" s="247"/>
      <c r="AQ1407" s="247"/>
      <c r="AR1407" s="247"/>
      <c r="AS1407" s="247"/>
      <c r="AT1407" s="247"/>
      <c r="AU1407" s="247"/>
      <c r="AW1407" s="116"/>
    </row>
    <row r="1408" spans="39:49" ht="24" customHeight="1">
      <c r="AM1408" s="247"/>
      <c r="AN1408" s="247"/>
      <c r="AO1408" s="247"/>
      <c r="AP1408" s="247"/>
      <c r="AQ1408" s="247"/>
      <c r="AR1408" s="247"/>
      <c r="AS1408" s="247"/>
      <c r="AT1408" s="247"/>
      <c r="AU1408" s="247"/>
      <c r="AW1408" s="116"/>
    </row>
    <row r="1409" spans="39:49" ht="13.5" customHeight="1">
      <c r="AM1409" s="247"/>
      <c r="AN1409" s="247"/>
      <c r="AO1409" s="247"/>
      <c r="AP1409" s="247"/>
      <c r="AQ1409" s="247"/>
      <c r="AR1409" s="247"/>
      <c r="AS1409" s="247"/>
      <c r="AT1409" s="247"/>
      <c r="AU1409" s="247"/>
      <c r="AW1409" s="116"/>
    </row>
    <row r="1410" spans="39:49" ht="24" customHeight="1">
      <c r="AM1410" s="247"/>
      <c r="AN1410" s="247"/>
      <c r="AO1410" s="247"/>
      <c r="AP1410" s="247"/>
      <c r="AQ1410" s="247"/>
      <c r="AR1410" s="247"/>
      <c r="AS1410" s="247"/>
      <c r="AT1410" s="247"/>
      <c r="AU1410" s="247"/>
      <c r="AW1410" s="116"/>
    </row>
    <row r="1411" spans="39:49" ht="13.5" customHeight="1">
      <c r="AM1411" s="247"/>
      <c r="AN1411" s="247"/>
      <c r="AO1411" s="247"/>
      <c r="AP1411" s="247"/>
      <c r="AQ1411" s="247"/>
      <c r="AR1411" s="247"/>
      <c r="AS1411" s="247"/>
      <c r="AT1411" s="247"/>
      <c r="AU1411" s="247"/>
      <c r="AW1411" s="116"/>
    </row>
    <row r="1412" spans="39:49" ht="24" customHeight="1">
      <c r="AM1412" s="247"/>
      <c r="AN1412" s="247"/>
      <c r="AO1412" s="247"/>
      <c r="AP1412" s="247"/>
      <c r="AQ1412" s="247"/>
      <c r="AR1412" s="247"/>
      <c r="AS1412" s="247"/>
      <c r="AT1412" s="247"/>
      <c r="AU1412" s="247"/>
      <c r="AW1412" s="116"/>
    </row>
    <row r="1413" spans="39:49" ht="13.5" customHeight="1">
      <c r="AM1413" s="247"/>
      <c r="AN1413" s="247"/>
      <c r="AO1413" s="247"/>
      <c r="AP1413" s="247"/>
      <c r="AQ1413" s="247"/>
      <c r="AR1413" s="247"/>
      <c r="AS1413" s="247"/>
      <c r="AT1413" s="247"/>
      <c r="AU1413" s="247"/>
      <c r="AW1413" s="116"/>
    </row>
    <row r="1414" spans="39:49" ht="24" customHeight="1">
      <c r="AM1414" s="247"/>
      <c r="AN1414" s="247"/>
      <c r="AO1414" s="247"/>
      <c r="AP1414" s="247"/>
      <c r="AQ1414" s="247"/>
      <c r="AR1414" s="247"/>
      <c r="AS1414" s="247"/>
      <c r="AT1414" s="247"/>
      <c r="AU1414" s="247"/>
      <c r="AW1414" s="116"/>
    </row>
    <row r="1415" spans="39:49" ht="13.5" customHeight="1">
      <c r="AM1415" s="247"/>
      <c r="AN1415" s="247"/>
      <c r="AO1415" s="247"/>
      <c r="AP1415" s="247"/>
      <c r="AQ1415" s="247"/>
      <c r="AR1415" s="247"/>
      <c r="AS1415" s="247"/>
      <c r="AT1415" s="247"/>
      <c r="AU1415" s="247"/>
      <c r="AW1415" s="116"/>
    </row>
    <row r="1416" spans="39:49" ht="24" customHeight="1">
      <c r="AM1416" s="247"/>
      <c r="AN1416" s="247"/>
      <c r="AO1416" s="247"/>
      <c r="AP1416" s="247"/>
      <c r="AQ1416" s="247"/>
      <c r="AR1416" s="247"/>
      <c r="AS1416" s="247"/>
      <c r="AT1416" s="247"/>
      <c r="AU1416" s="247"/>
      <c r="AW1416" s="116"/>
    </row>
    <row r="1417" spans="39:49" ht="13.5" customHeight="1">
      <c r="AM1417" s="247"/>
      <c r="AN1417" s="247"/>
      <c r="AO1417" s="247"/>
      <c r="AP1417" s="247"/>
      <c r="AQ1417" s="247"/>
      <c r="AR1417" s="247"/>
      <c r="AS1417" s="247"/>
      <c r="AT1417" s="247"/>
      <c r="AU1417" s="247"/>
      <c r="AW1417" s="116"/>
    </row>
    <row r="1418" spans="39:49" ht="24" customHeight="1">
      <c r="AM1418" s="247"/>
      <c r="AN1418" s="247"/>
      <c r="AO1418" s="247"/>
      <c r="AP1418" s="247"/>
      <c r="AQ1418" s="247"/>
      <c r="AR1418" s="247"/>
      <c r="AS1418" s="247"/>
      <c r="AT1418" s="247"/>
      <c r="AU1418" s="247"/>
      <c r="AW1418" s="116"/>
    </row>
    <row r="1419" spans="39:49" ht="13.5" customHeight="1">
      <c r="AM1419" s="247"/>
      <c r="AN1419" s="247"/>
      <c r="AO1419" s="247"/>
      <c r="AP1419" s="247"/>
      <c r="AQ1419" s="247"/>
      <c r="AR1419" s="247"/>
      <c r="AS1419" s="247"/>
      <c r="AT1419" s="247"/>
      <c r="AU1419" s="247"/>
      <c r="AW1419" s="116"/>
    </row>
    <row r="1420" spans="39:49" ht="24" customHeight="1">
      <c r="AM1420" s="247"/>
      <c r="AN1420" s="247"/>
      <c r="AO1420" s="247"/>
      <c r="AP1420" s="247"/>
      <c r="AQ1420" s="247"/>
      <c r="AR1420" s="247"/>
      <c r="AS1420" s="247"/>
      <c r="AT1420" s="247"/>
      <c r="AU1420" s="247"/>
      <c r="AW1420" s="116"/>
    </row>
    <row r="1421" spans="39:49" ht="13.5" customHeight="1">
      <c r="AM1421" s="247"/>
      <c r="AN1421" s="247"/>
      <c r="AO1421" s="247"/>
      <c r="AP1421" s="247"/>
      <c r="AQ1421" s="247"/>
      <c r="AR1421" s="247"/>
      <c r="AS1421" s="247"/>
      <c r="AT1421" s="247"/>
      <c r="AU1421" s="247"/>
      <c r="AW1421" s="116"/>
    </row>
    <row r="1422" spans="39:49" ht="24" customHeight="1">
      <c r="AM1422" s="247"/>
      <c r="AN1422" s="247"/>
      <c r="AO1422" s="247"/>
      <c r="AP1422" s="247"/>
      <c r="AQ1422" s="247"/>
      <c r="AR1422" s="247"/>
      <c r="AS1422" s="247"/>
      <c r="AT1422" s="247"/>
      <c r="AU1422" s="247"/>
      <c r="AW1422" s="116"/>
    </row>
    <row r="1423" spans="39:49" ht="13.5" customHeight="1">
      <c r="AM1423" s="247"/>
      <c r="AN1423" s="247"/>
      <c r="AO1423" s="247"/>
      <c r="AP1423" s="247"/>
      <c r="AQ1423" s="247"/>
      <c r="AR1423" s="247"/>
      <c r="AS1423" s="247"/>
      <c r="AT1423" s="247"/>
      <c r="AU1423" s="247"/>
      <c r="AW1423" s="116"/>
    </row>
    <row r="1424" spans="39:49" ht="24" customHeight="1">
      <c r="AM1424" s="247"/>
      <c r="AN1424" s="247"/>
      <c r="AO1424" s="247"/>
      <c r="AP1424" s="247"/>
      <c r="AQ1424" s="247"/>
      <c r="AR1424" s="247"/>
      <c r="AS1424" s="247"/>
      <c r="AT1424" s="247"/>
      <c r="AU1424" s="247"/>
      <c r="AW1424" s="116"/>
    </row>
    <row r="1425" spans="39:49" ht="13.5" customHeight="1">
      <c r="AM1425" s="247"/>
      <c r="AN1425" s="247"/>
      <c r="AO1425" s="247"/>
      <c r="AP1425" s="247"/>
      <c r="AQ1425" s="247"/>
      <c r="AR1425" s="247"/>
      <c r="AS1425" s="247"/>
      <c r="AT1425" s="247"/>
      <c r="AU1425" s="247"/>
      <c r="AW1425" s="116"/>
    </row>
    <row r="1426" spans="39:49" ht="24" customHeight="1">
      <c r="AM1426" s="247"/>
      <c r="AN1426" s="247"/>
      <c r="AO1426" s="247"/>
      <c r="AP1426" s="247"/>
      <c r="AQ1426" s="247"/>
      <c r="AR1426" s="247"/>
      <c r="AS1426" s="247"/>
      <c r="AT1426" s="247"/>
      <c r="AU1426" s="247"/>
      <c r="AW1426" s="116"/>
    </row>
    <row r="1427" spans="39:49" ht="13.5" customHeight="1">
      <c r="AM1427" s="247"/>
      <c r="AN1427" s="247"/>
      <c r="AO1427" s="247"/>
      <c r="AP1427" s="247"/>
      <c r="AQ1427" s="247"/>
      <c r="AR1427" s="247"/>
      <c r="AS1427" s="247"/>
      <c r="AT1427" s="247"/>
      <c r="AU1427" s="247"/>
      <c r="AW1427" s="116"/>
    </row>
    <row r="1428" spans="39:49" ht="24" customHeight="1">
      <c r="AM1428" s="247"/>
      <c r="AN1428" s="247"/>
      <c r="AO1428" s="247"/>
      <c r="AP1428" s="247"/>
      <c r="AQ1428" s="247"/>
      <c r="AR1428" s="247"/>
      <c r="AS1428" s="247"/>
      <c r="AT1428" s="247"/>
      <c r="AU1428" s="247"/>
      <c r="AW1428" s="116"/>
    </row>
    <row r="1429" spans="39:49" ht="13.5" customHeight="1">
      <c r="AM1429" s="247"/>
      <c r="AN1429" s="247"/>
      <c r="AO1429" s="247"/>
      <c r="AP1429" s="247"/>
      <c r="AQ1429" s="247"/>
      <c r="AR1429" s="247"/>
      <c r="AS1429" s="247"/>
      <c r="AT1429" s="247"/>
      <c r="AU1429" s="247"/>
      <c r="AW1429" s="116"/>
    </row>
    <row r="1430" spans="39:49" ht="24" customHeight="1">
      <c r="AM1430" s="247"/>
      <c r="AN1430" s="247"/>
      <c r="AO1430" s="247"/>
      <c r="AP1430" s="247"/>
      <c r="AQ1430" s="247"/>
      <c r="AR1430" s="247"/>
      <c r="AS1430" s="247"/>
      <c r="AT1430" s="247"/>
      <c r="AU1430" s="247"/>
      <c r="AW1430" s="116"/>
    </row>
    <row r="1431" spans="39:49" ht="13.5" customHeight="1">
      <c r="AM1431" s="247"/>
      <c r="AN1431" s="247"/>
      <c r="AO1431" s="247"/>
      <c r="AP1431" s="247"/>
      <c r="AQ1431" s="247"/>
      <c r="AR1431" s="247"/>
      <c r="AS1431" s="247"/>
      <c r="AT1431" s="247"/>
      <c r="AU1431" s="247"/>
      <c r="AW1431" s="116"/>
    </row>
    <row r="1432" spans="39:49" ht="24" customHeight="1">
      <c r="AM1432" s="247"/>
      <c r="AN1432" s="247"/>
      <c r="AO1432" s="247"/>
      <c r="AP1432" s="247"/>
      <c r="AQ1432" s="247"/>
      <c r="AR1432" s="247"/>
      <c r="AS1432" s="247"/>
      <c r="AT1432" s="247"/>
      <c r="AU1432" s="247"/>
      <c r="AW1432" s="116"/>
    </row>
    <row r="1433" spans="39:49" ht="13.5" customHeight="1">
      <c r="AM1433" s="247"/>
      <c r="AN1433" s="247"/>
      <c r="AO1433" s="247"/>
      <c r="AP1433" s="247"/>
      <c r="AQ1433" s="247"/>
      <c r="AR1433" s="247"/>
      <c r="AS1433" s="247"/>
      <c r="AT1433" s="247"/>
      <c r="AU1433" s="247"/>
      <c r="AW1433" s="116"/>
    </row>
    <row r="1434" spans="39:49" ht="24" customHeight="1">
      <c r="AM1434" s="247"/>
      <c r="AN1434" s="247"/>
      <c r="AO1434" s="247"/>
      <c r="AP1434" s="247"/>
      <c r="AQ1434" s="247"/>
      <c r="AR1434" s="247"/>
      <c r="AS1434" s="247"/>
      <c r="AT1434" s="247"/>
      <c r="AU1434" s="247"/>
      <c r="AW1434" s="116"/>
    </row>
    <row r="1435" spans="39:49" ht="13.5" customHeight="1">
      <c r="AM1435" s="247"/>
      <c r="AN1435" s="247"/>
      <c r="AO1435" s="247"/>
      <c r="AP1435" s="247"/>
      <c r="AQ1435" s="247"/>
      <c r="AR1435" s="247"/>
      <c r="AS1435" s="247"/>
      <c r="AT1435" s="247"/>
      <c r="AU1435" s="247"/>
      <c r="AW1435" s="116"/>
    </row>
    <row r="1436" spans="39:49" ht="24" customHeight="1">
      <c r="AM1436" s="247"/>
      <c r="AN1436" s="247"/>
      <c r="AO1436" s="247"/>
      <c r="AP1436" s="247"/>
      <c r="AQ1436" s="247"/>
      <c r="AR1436" s="247"/>
      <c r="AS1436" s="247"/>
      <c r="AT1436" s="247"/>
      <c r="AU1436" s="247"/>
      <c r="AW1436" s="116"/>
    </row>
    <row r="1437" spans="39:49" ht="13.5" customHeight="1">
      <c r="AM1437" s="247"/>
      <c r="AN1437" s="247"/>
      <c r="AO1437" s="247"/>
      <c r="AP1437" s="247"/>
      <c r="AQ1437" s="247"/>
      <c r="AR1437" s="247"/>
      <c r="AS1437" s="247"/>
      <c r="AT1437" s="247"/>
      <c r="AU1437" s="247"/>
      <c r="AW1437" s="116"/>
    </row>
    <row r="1438" spans="39:49" ht="24" customHeight="1">
      <c r="AM1438" s="247"/>
      <c r="AN1438" s="247"/>
      <c r="AO1438" s="247"/>
      <c r="AP1438" s="247"/>
      <c r="AQ1438" s="247"/>
      <c r="AR1438" s="247"/>
      <c r="AS1438" s="247"/>
      <c r="AT1438" s="247"/>
      <c r="AU1438" s="247"/>
      <c r="AW1438" s="116"/>
    </row>
    <row r="1439" spans="39:49" ht="13.5" customHeight="1">
      <c r="AM1439" s="247"/>
      <c r="AN1439" s="247"/>
      <c r="AO1439" s="247"/>
      <c r="AP1439" s="247"/>
      <c r="AQ1439" s="247"/>
      <c r="AR1439" s="247"/>
      <c r="AS1439" s="247"/>
      <c r="AT1439" s="247"/>
      <c r="AU1439" s="247"/>
      <c r="AW1439" s="116"/>
    </row>
    <row r="1440" spans="39:49" ht="24" customHeight="1">
      <c r="AM1440" s="247"/>
      <c r="AN1440" s="247"/>
      <c r="AO1440" s="247"/>
      <c r="AP1440" s="247"/>
      <c r="AQ1440" s="247"/>
      <c r="AR1440" s="247"/>
      <c r="AS1440" s="247"/>
      <c r="AT1440" s="247"/>
      <c r="AU1440" s="247"/>
      <c r="AW1440" s="116"/>
    </row>
    <row r="1441" spans="39:49" ht="13.5" customHeight="1">
      <c r="AM1441" s="247"/>
      <c r="AN1441" s="247"/>
      <c r="AO1441" s="247"/>
      <c r="AP1441" s="247"/>
      <c r="AQ1441" s="247"/>
      <c r="AR1441" s="247"/>
      <c r="AS1441" s="247"/>
      <c r="AT1441" s="247"/>
      <c r="AU1441" s="247"/>
      <c r="AW1441" s="116"/>
    </row>
    <row r="1442" spans="39:49" ht="24" customHeight="1">
      <c r="AM1442" s="247"/>
      <c r="AN1442" s="247"/>
      <c r="AO1442" s="247"/>
      <c r="AP1442" s="247"/>
      <c r="AQ1442" s="247"/>
      <c r="AR1442" s="247"/>
      <c r="AS1442" s="247"/>
      <c r="AT1442" s="247"/>
      <c r="AU1442" s="247"/>
      <c r="AW1442" s="116"/>
    </row>
    <row r="1443" spans="39:49" ht="13.5" customHeight="1">
      <c r="AM1443" s="247"/>
      <c r="AN1443" s="247"/>
      <c r="AO1443" s="247"/>
      <c r="AP1443" s="247"/>
      <c r="AQ1443" s="247"/>
      <c r="AR1443" s="247"/>
      <c r="AS1443" s="247"/>
      <c r="AT1443" s="247"/>
      <c r="AU1443" s="247"/>
      <c r="AW1443" s="116"/>
    </row>
    <row r="1444" spans="39:49" ht="24" customHeight="1">
      <c r="AM1444" s="247"/>
      <c r="AN1444" s="247"/>
      <c r="AO1444" s="247"/>
      <c r="AP1444" s="247"/>
      <c r="AQ1444" s="247"/>
      <c r="AR1444" s="247"/>
      <c r="AS1444" s="247"/>
      <c r="AT1444" s="247"/>
      <c r="AU1444" s="247"/>
      <c r="AW1444" s="116"/>
    </row>
    <row r="1445" spans="39:49" ht="13.5" customHeight="1">
      <c r="AM1445" s="247"/>
      <c r="AN1445" s="247"/>
      <c r="AO1445" s="247"/>
      <c r="AP1445" s="247"/>
      <c r="AQ1445" s="247"/>
      <c r="AR1445" s="247"/>
      <c r="AS1445" s="247"/>
      <c r="AT1445" s="247"/>
      <c r="AU1445" s="247"/>
      <c r="AW1445" s="116"/>
    </row>
    <row r="1446" spans="39:49" ht="24" customHeight="1">
      <c r="AM1446" s="247"/>
      <c r="AN1446" s="247"/>
      <c r="AO1446" s="247"/>
      <c r="AP1446" s="247"/>
      <c r="AQ1446" s="247"/>
      <c r="AR1446" s="247"/>
      <c r="AS1446" s="247"/>
      <c r="AT1446" s="247"/>
      <c r="AU1446" s="247"/>
      <c r="AW1446" s="116"/>
    </row>
    <row r="1447" spans="39:49" ht="13.5" customHeight="1">
      <c r="AM1447" s="247"/>
      <c r="AN1447" s="247"/>
      <c r="AO1447" s="247"/>
      <c r="AP1447" s="247"/>
      <c r="AQ1447" s="247"/>
      <c r="AR1447" s="247"/>
      <c r="AS1447" s="247"/>
      <c r="AT1447" s="247"/>
      <c r="AU1447" s="247"/>
      <c r="AW1447" s="116"/>
    </row>
    <row r="1448" spans="39:49" ht="24" customHeight="1">
      <c r="AM1448" s="247"/>
      <c r="AN1448" s="247"/>
      <c r="AO1448" s="247"/>
      <c r="AP1448" s="247"/>
      <c r="AQ1448" s="247"/>
      <c r="AR1448" s="247"/>
      <c r="AS1448" s="247"/>
      <c r="AT1448" s="247"/>
      <c r="AU1448" s="247"/>
      <c r="AW1448" s="116"/>
    </row>
    <row r="1449" spans="39:49" ht="13.5" customHeight="1">
      <c r="AM1449" s="247"/>
      <c r="AN1449" s="247"/>
      <c r="AO1449" s="247"/>
      <c r="AP1449" s="247"/>
      <c r="AQ1449" s="247"/>
      <c r="AR1449" s="247"/>
      <c r="AS1449" s="247"/>
      <c r="AT1449" s="247"/>
      <c r="AU1449" s="247"/>
      <c r="AW1449" s="116"/>
    </row>
    <row r="1450" spans="39:49" ht="24" customHeight="1">
      <c r="AM1450" s="247"/>
      <c r="AN1450" s="247"/>
      <c r="AO1450" s="247"/>
      <c r="AP1450" s="247"/>
      <c r="AQ1450" s="247"/>
      <c r="AR1450" s="247"/>
      <c r="AS1450" s="247"/>
      <c r="AT1450" s="247"/>
      <c r="AU1450" s="247"/>
      <c r="AW1450" s="116"/>
    </row>
    <row r="1451" spans="39:49" ht="13.5" customHeight="1">
      <c r="AM1451" s="247"/>
      <c r="AN1451" s="247"/>
      <c r="AO1451" s="247"/>
      <c r="AP1451" s="247"/>
      <c r="AQ1451" s="247"/>
      <c r="AR1451" s="247"/>
      <c r="AS1451" s="247"/>
      <c r="AT1451" s="247"/>
      <c r="AU1451" s="247"/>
      <c r="AW1451" s="116"/>
    </row>
    <row r="1452" spans="39:49" ht="24" customHeight="1">
      <c r="AM1452" s="247"/>
      <c r="AN1452" s="247"/>
      <c r="AO1452" s="247"/>
      <c r="AP1452" s="247"/>
      <c r="AQ1452" s="247"/>
      <c r="AR1452" s="247"/>
      <c r="AS1452" s="247"/>
      <c r="AT1452" s="247"/>
      <c r="AU1452" s="247"/>
      <c r="AW1452" s="116"/>
    </row>
    <row r="1453" spans="39:49" ht="13.5" customHeight="1">
      <c r="AM1453" s="247"/>
      <c r="AN1453" s="247"/>
      <c r="AO1453" s="247"/>
      <c r="AP1453" s="247"/>
      <c r="AQ1453" s="247"/>
      <c r="AR1453" s="247"/>
      <c r="AS1453" s="247"/>
      <c r="AT1453" s="247"/>
      <c r="AU1453" s="247"/>
      <c r="AW1453" s="116"/>
    </row>
    <row r="1454" spans="39:49" ht="24" customHeight="1">
      <c r="AM1454" s="247"/>
      <c r="AN1454" s="247"/>
      <c r="AO1454" s="247"/>
      <c r="AP1454" s="247"/>
      <c r="AQ1454" s="247"/>
      <c r="AR1454" s="247"/>
      <c r="AS1454" s="247"/>
      <c r="AT1454" s="247"/>
      <c r="AU1454" s="247"/>
      <c r="AW1454" s="116"/>
    </row>
    <row r="1455" spans="39:49" ht="13.5" customHeight="1">
      <c r="AM1455" s="247"/>
      <c r="AN1455" s="247"/>
      <c r="AO1455" s="247"/>
      <c r="AP1455" s="247"/>
      <c r="AQ1455" s="247"/>
      <c r="AR1455" s="247"/>
      <c r="AS1455" s="247"/>
      <c r="AT1455" s="247"/>
      <c r="AU1455" s="247"/>
      <c r="AW1455" s="116"/>
    </row>
    <row r="1456" spans="39:49" ht="24" customHeight="1">
      <c r="AM1456" s="247"/>
      <c r="AN1456" s="247"/>
      <c r="AO1456" s="247"/>
      <c r="AP1456" s="247"/>
      <c r="AQ1456" s="247"/>
      <c r="AR1456" s="247"/>
      <c r="AS1456" s="247"/>
      <c r="AT1456" s="247"/>
      <c r="AU1456" s="247"/>
      <c r="AW1456" s="116"/>
    </row>
    <row r="1457" spans="39:49" ht="13.5" customHeight="1">
      <c r="AM1457" s="247"/>
      <c r="AN1457" s="247"/>
      <c r="AO1457" s="247"/>
      <c r="AP1457" s="247"/>
      <c r="AQ1457" s="247"/>
      <c r="AR1457" s="247"/>
      <c r="AS1457" s="247"/>
      <c r="AT1457" s="247"/>
      <c r="AU1457" s="247"/>
      <c r="AW1457" s="116"/>
    </row>
    <row r="1458" spans="39:49" ht="24" customHeight="1">
      <c r="AM1458" s="247"/>
      <c r="AN1458" s="247"/>
      <c r="AO1458" s="247"/>
      <c r="AP1458" s="247"/>
      <c r="AQ1458" s="247"/>
      <c r="AR1458" s="247"/>
      <c r="AS1458" s="247"/>
      <c r="AT1458" s="247"/>
      <c r="AU1458" s="247"/>
      <c r="AW1458" s="116"/>
    </row>
    <row r="1459" spans="39:49" ht="13.5" customHeight="1">
      <c r="AM1459" s="247"/>
      <c r="AN1459" s="247"/>
      <c r="AO1459" s="247"/>
      <c r="AP1459" s="247"/>
      <c r="AQ1459" s="247"/>
      <c r="AR1459" s="247"/>
      <c r="AS1459" s="247"/>
      <c r="AT1459" s="247"/>
      <c r="AU1459" s="247"/>
      <c r="AW1459" s="116"/>
    </row>
    <row r="1460" spans="39:49" ht="24" customHeight="1">
      <c r="AM1460" s="247"/>
      <c r="AN1460" s="247"/>
      <c r="AO1460" s="247"/>
      <c r="AP1460" s="247"/>
      <c r="AQ1460" s="247"/>
      <c r="AR1460" s="247"/>
      <c r="AS1460" s="247"/>
      <c r="AT1460" s="247"/>
      <c r="AU1460" s="247"/>
      <c r="AW1460" s="116"/>
    </row>
    <row r="1461" spans="39:49" ht="13.5" customHeight="1">
      <c r="AM1461" s="247"/>
      <c r="AN1461" s="247"/>
      <c r="AO1461" s="247"/>
      <c r="AP1461" s="247"/>
      <c r="AQ1461" s="247"/>
      <c r="AR1461" s="247"/>
      <c r="AS1461" s="247"/>
      <c r="AT1461" s="247"/>
      <c r="AU1461" s="247"/>
      <c r="AW1461" s="116"/>
    </row>
    <row r="1462" spans="39:49" ht="24" customHeight="1">
      <c r="AM1462" s="247"/>
      <c r="AN1462" s="247"/>
      <c r="AO1462" s="247"/>
      <c r="AP1462" s="247"/>
      <c r="AQ1462" s="247"/>
      <c r="AR1462" s="247"/>
      <c r="AS1462" s="247"/>
      <c r="AT1462" s="247"/>
      <c r="AU1462" s="247"/>
      <c r="AW1462" s="116"/>
    </row>
    <row r="1463" spans="39:49" ht="13.5" customHeight="1">
      <c r="AM1463" s="247"/>
      <c r="AN1463" s="247"/>
      <c r="AO1463" s="247"/>
      <c r="AP1463" s="247"/>
      <c r="AQ1463" s="247"/>
      <c r="AR1463" s="247"/>
      <c r="AS1463" s="247"/>
      <c r="AT1463" s="247"/>
      <c r="AU1463" s="247"/>
      <c r="AW1463" s="116"/>
    </row>
    <row r="1464" spans="39:49" ht="24" customHeight="1">
      <c r="AM1464" s="247"/>
      <c r="AN1464" s="247"/>
      <c r="AO1464" s="247"/>
      <c r="AP1464" s="247"/>
      <c r="AQ1464" s="247"/>
      <c r="AR1464" s="247"/>
      <c r="AS1464" s="247"/>
      <c r="AT1464" s="247"/>
      <c r="AU1464" s="247"/>
      <c r="AW1464" s="116"/>
    </row>
    <row r="1465" spans="39:49" ht="13.5" customHeight="1">
      <c r="AM1465" s="247"/>
      <c r="AN1465" s="247"/>
      <c r="AO1465" s="247"/>
      <c r="AP1465" s="247"/>
      <c r="AQ1465" s="247"/>
      <c r="AR1465" s="247"/>
      <c r="AS1465" s="247"/>
      <c r="AT1465" s="247"/>
      <c r="AU1465" s="247"/>
      <c r="AW1465" s="116"/>
    </row>
    <row r="1466" spans="39:49" ht="24" customHeight="1">
      <c r="AM1466" s="247"/>
      <c r="AN1466" s="247"/>
      <c r="AO1466" s="247"/>
      <c r="AP1466" s="247"/>
      <c r="AQ1466" s="247"/>
      <c r="AR1466" s="247"/>
      <c r="AS1466" s="247"/>
      <c r="AT1466" s="247"/>
      <c r="AU1466" s="247"/>
      <c r="AW1466" s="116"/>
    </row>
    <row r="1467" spans="39:49" ht="13.5" customHeight="1">
      <c r="AM1467" s="247"/>
      <c r="AN1467" s="247"/>
      <c r="AO1467" s="247"/>
      <c r="AP1467" s="247"/>
      <c r="AQ1467" s="247"/>
      <c r="AR1467" s="247"/>
      <c r="AS1467" s="247"/>
      <c r="AT1467" s="247"/>
      <c r="AU1467" s="247"/>
      <c r="AW1467" s="116"/>
    </row>
    <row r="1468" spans="39:49" ht="24" customHeight="1">
      <c r="AM1468" s="247"/>
      <c r="AN1468" s="247"/>
      <c r="AO1468" s="247"/>
      <c r="AP1468" s="247"/>
      <c r="AQ1468" s="247"/>
      <c r="AR1468" s="247"/>
      <c r="AS1468" s="247"/>
      <c r="AT1468" s="247"/>
      <c r="AU1468" s="247"/>
      <c r="AW1468" s="116"/>
    </row>
    <row r="1469" spans="39:49" ht="13.5" customHeight="1">
      <c r="AM1469" s="247"/>
      <c r="AN1469" s="247"/>
      <c r="AO1469" s="247"/>
      <c r="AP1469" s="247"/>
      <c r="AQ1469" s="247"/>
      <c r="AR1469" s="247"/>
      <c r="AS1469" s="247"/>
      <c r="AT1469" s="247"/>
      <c r="AU1469" s="247"/>
      <c r="AW1469" s="116"/>
    </row>
    <row r="1470" spans="39:49" ht="24" customHeight="1">
      <c r="AM1470" s="247"/>
      <c r="AN1470" s="247"/>
      <c r="AO1470" s="247"/>
      <c r="AP1470" s="247"/>
      <c r="AQ1470" s="247"/>
      <c r="AR1470" s="247"/>
      <c r="AS1470" s="247"/>
      <c r="AT1470" s="247"/>
      <c r="AU1470" s="247"/>
      <c r="AW1470" s="116"/>
    </row>
    <row r="1471" spans="39:49" ht="13.5" customHeight="1">
      <c r="AM1471" s="247"/>
      <c r="AN1471" s="247"/>
      <c r="AO1471" s="247"/>
      <c r="AP1471" s="247"/>
      <c r="AQ1471" s="247"/>
      <c r="AR1471" s="247"/>
      <c r="AS1471" s="247"/>
      <c r="AT1471" s="247"/>
      <c r="AU1471" s="247"/>
      <c r="AW1471" s="116"/>
    </row>
    <row r="1472" spans="39:49" ht="24" customHeight="1">
      <c r="AM1472" s="247"/>
      <c r="AN1472" s="247"/>
      <c r="AO1472" s="247"/>
      <c r="AP1472" s="247"/>
      <c r="AQ1472" s="247"/>
      <c r="AR1472" s="247"/>
      <c r="AS1472" s="247"/>
      <c r="AT1472" s="247"/>
      <c r="AU1472" s="247"/>
      <c r="AW1472" s="116"/>
    </row>
    <row r="1473" spans="39:49" ht="13.5" customHeight="1">
      <c r="AM1473" s="247"/>
      <c r="AN1473" s="247"/>
      <c r="AO1473" s="247"/>
      <c r="AP1473" s="247"/>
      <c r="AQ1473" s="247"/>
      <c r="AR1473" s="247"/>
      <c r="AS1473" s="247"/>
      <c r="AT1473" s="247"/>
      <c r="AU1473" s="247"/>
      <c r="AW1473" s="116"/>
    </row>
    <row r="1474" spans="39:49" ht="24" customHeight="1">
      <c r="AM1474" s="247"/>
      <c r="AN1474" s="247"/>
      <c r="AO1474" s="247"/>
      <c r="AP1474" s="247"/>
      <c r="AQ1474" s="247"/>
      <c r="AR1474" s="247"/>
      <c r="AS1474" s="247"/>
      <c r="AT1474" s="247"/>
      <c r="AU1474" s="247"/>
      <c r="AW1474" s="116"/>
    </row>
    <row r="1475" spans="39:49" ht="13.5" customHeight="1">
      <c r="AM1475" s="247"/>
      <c r="AN1475" s="247"/>
      <c r="AO1475" s="247"/>
      <c r="AP1475" s="247"/>
      <c r="AQ1475" s="247"/>
      <c r="AR1475" s="247"/>
      <c r="AS1475" s="247"/>
      <c r="AT1475" s="247"/>
      <c r="AU1475" s="247"/>
      <c r="AW1475" s="116"/>
    </row>
    <row r="1476" spans="39:49" ht="24" customHeight="1">
      <c r="AM1476" s="247"/>
      <c r="AN1476" s="247"/>
      <c r="AO1476" s="247"/>
      <c r="AP1476" s="247"/>
      <c r="AQ1476" s="247"/>
      <c r="AR1476" s="247"/>
      <c r="AS1476" s="247"/>
      <c r="AT1476" s="247"/>
      <c r="AU1476" s="247"/>
      <c r="AW1476" s="116"/>
    </row>
    <row r="1477" spans="39:49" ht="13.5" customHeight="1">
      <c r="AM1477" s="247"/>
      <c r="AN1477" s="247"/>
      <c r="AO1477" s="247"/>
      <c r="AP1477" s="247"/>
      <c r="AQ1477" s="247"/>
      <c r="AR1477" s="247"/>
      <c r="AS1477" s="247"/>
      <c r="AT1477" s="247"/>
      <c r="AU1477" s="247"/>
      <c r="AW1477" s="116"/>
    </row>
    <row r="1478" spans="39:49" ht="24" customHeight="1">
      <c r="AM1478" s="247"/>
      <c r="AN1478" s="247"/>
      <c r="AO1478" s="247"/>
      <c r="AP1478" s="247"/>
      <c r="AQ1478" s="247"/>
      <c r="AR1478" s="247"/>
      <c r="AS1478" s="247"/>
      <c r="AT1478" s="247"/>
      <c r="AU1478" s="247"/>
      <c r="AW1478" s="116"/>
    </row>
    <row r="1479" spans="39:49" ht="13.5" customHeight="1">
      <c r="AM1479" s="247"/>
      <c r="AN1479" s="247"/>
      <c r="AO1479" s="247"/>
      <c r="AP1479" s="247"/>
      <c r="AQ1479" s="247"/>
      <c r="AR1479" s="247"/>
      <c r="AS1479" s="247"/>
      <c r="AT1479" s="247"/>
      <c r="AU1479" s="247"/>
      <c r="AW1479" s="116"/>
    </row>
    <row r="1480" spans="39:49" ht="24" customHeight="1">
      <c r="AM1480" s="247"/>
      <c r="AN1480" s="247"/>
      <c r="AO1480" s="247"/>
      <c r="AP1480" s="247"/>
      <c r="AQ1480" s="247"/>
      <c r="AR1480" s="247"/>
      <c r="AS1480" s="247"/>
      <c r="AT1480" s="247"/>
      <c r="AU1480" s="247"/>
      <c r="AW1480" s="116"/>
    </row>
    <row r="1481" spans="39:49" ht="13.5" customHeight="1">
      <c r="AM1481" s="247"/>
      <c r="AN1481" s="247"/>
      <c r="AO1481" s="247"/>
      <c r="AP1481" s="247"/>
      <c r="AQ1481" s="247"/>
      <c r="AR1481" s="247"/>
      <c r="AS1481" s="247"/>
      <c r="AT1481" s="247"/>
      <c r="AU1481" s="247"/>
      <c r="AW1481" s="116"/>
    </row>
    <row r="1482" spans="39:49" ht="24" customHeight="1">
      <c r="AM1482" s="247"/>
      <c r="AN1482" s="247"/>
      <c r="AO1482" s="247"/>
      <c r="AP1482" s="247"/>
      <c r="AQ1482" s="247"/>
      <c r="AR1482" s="247"/>
      <c r="AS1482" s="247"/>
      <c r="AT1482" s="247"/>
      <c r="AU1482" s="247"/>
      <c r="AW1482" s="116"/>
    </row>
    <row r="1483" spans="39:49" ht="13.5" customHeight="1">
      <c r="AM1483" s="247"/>
      <c r="AN1483" s="247"/>
      <c r="AO1483" s="247"/>
      <c r="AP1483" s="247"/>
      <c r="AQ1483" s="247"/>
      <c r="AR1483" s="247"/>
      <c r="AS1483" s="247"/>
      <c r="AT1483" s="247"/>
      <c r="AU1483" s="247"/>
      <c r="AW1483" s="116"/>
    </row>
    <row r="1484" spans="39:49" ht="24" customHeight="1">
      <c r="AM1484" s="247"/>
      <c r="AN1484" s="247"/>
      <c r="AO1484" s="247"/>
      <c r="AP1484" s="247"/>
      <c r="AQ1484" s="247"/>
      <c r="AR1484" s="247"/>
      <c r="AS1484" s="247"/>
      <c r="AT1484" s="247"/>
      <c r="AU1484" s="247"/>
      <c r="AW1484" s="116"/>
    </row>
    <row r="1485" spans="39:49" ht="13.5" customHeight="1">
      <c r="AM1485" s="247"/>
      <c r="AN1485" s="247"/>
      <c r="AO1485" s="247"/>
      <c r="AP1485" s="247"/>
      <c r="AQ1485" s="247"/>
      <c r="AR1485" s="247"/>
      <c r="AS1485" s="247"/>
      <c r="AT1485" s="247"/>
      <c r="AU1485" s="247"/>
      <c r="AW1485" s="116"/>
    </row>
    <row r="1486" spans="39:49" ht="24" customHeight="1">
      <c r="AM1486" s="247"/>
      <c r="AN1486" s="247"/>
      <c r="AO1486" s="247"/>
      <c r="AP1486" s="247"/>
      <c r="AQ1486" s="247"/>
      <c r="AR1486" s="247"/>
      <c r="AS1486" s="247"/>
      <c r="AT1486" s="247"/>
      <c r="AU1486" s="247"/>
      <c r="AW1486" s="116"/>
    </row>
    <row r="1487" spans="39:49" ht="13.5" customHeight="1">
      <c r="AM1487" s="247"/>
      <c r="AN1487" s="247"/>
      <c r="AO1487" s="247"/>
      <c r="AP1487" s="247"/>
      <c r="AQ1487" s="247"/>
      <c r="AR1487" s="247"/>
      <c r="AS1487" s="247"/>
      <c r="AT1487" s="247"/>
      <c r="AU1487" s="247"/>
      <c r="AW1487" s="116"/>
    </row>
    <row r="1488" spans="39:49" ht="24" customHeight="1">
      <c r="AM1488" s="247"/>
      <c r="AN1488" s="247"/>
      <c r="AO1488" s="247"/>
      <c r="AP1488" s="247"/>
      <c r="AQ1488" s="247"/>
      <c r="AR1488" s="247"/>
      <c r="AS1488" s="247"/>
      <c r="AT1488" s="247"/>
      <c r="AU1488" s="247"/>
      <c r="AW1488" s="116"/>
    </row>
    <row r="1489" spans="39:49" ht="13.5" customHeight="1">
      <c r="AM1489" s="247"/>
      <c r="AN1489" s="247"/>
      <c r="AO1489" s="247"/>
      <c r="AP1489" s="247"/>
      <c r="AQ1489" s="247"/>
      <c r="AR1489" s="247"/>
      <c r="AS1489" s="247"/>
      <c r="AT1489" s="247"/>
      <c r="AU1489" s="247"/>
      <c r="AW1489" s="116"/>
    </row>
    <row r="1490" spans="39:49" ht="24" customHeight="1">
      <c r="AM1490" s="247"/>
      <c r="AN1490" s="247"/>
      <c r="AO1490" s="247"/>
      <c r="AP1490" s="247"/>
      <c r="AQ1490" s="247"/>
      <c r="AR1490" s="247"/>
      <c r="AS1490" s="247"/>
      <c r="AT1490" s="247"/>
      <c r="AU1490" s="247"/>
      <c r="AW1490" s="116"/>
    </row>
    <row r="1491" spans="39:49" ht="13.5" customHeight="1">
      <c r="AM1491" s="247"/>
      <c r="AN1491" s="247"/>
      <c r="AO1491" s="247"/>
      <c r="AP1491" s="247"/>
      <c r="AQ1491" s="247"/>
      <c r="AR1491" s="247"/>
      <c r="AS1491" s="247"/>
      <c r="AT1491" s="247"/>
      <c r="AU1491" s="247"/>
      <c r="AW1491" s="116"/>
    </row>
    <row r="1492" spans="39:49" ht="24" customHeight="1">
      <c r="AM1492" s="247"/>
      <c r="AN1492" s="247"/>
      <c r="AO1492" s="247"/>
      <c r="AP1492" s="247"/>
      <c r="AQ1492" s="247"/>
      <c r="AR1492" s="247"/>
      <c r="AS1492" s="247"/>
      <c r="AT1492" s="247"/>
      <c r="AU1492" s="247"/>
      <c r="AW1492" s="116"/>
    </row>
    <row r="1493" spans="39:49" ht="13.5" customHeight="1">
      <c r="AM1493" s="247"/>
      <c r="AN1493" s="247"/>
      <c r="AO1493" s="247"/>
      <c r="AP1493" s="247"/>
      <c r="AQ1493" s="247"/>
      <c r="AR1493" s="247"/>
      <c r="AS1493" s="247"/>
      <c r="AT1493" s="247"/>
      <c r="AU1493" s="247"/>
      <c r="AW1493" s="116"/>
    </row>
    <row r="1494" spans="39:49" ht="24" customHeight="1">
      <c r="AM1494" s="247"/>
      <c r="AN1494" s="247"/>
      <c r="AO1494" s="247"/>
      <c r="AP1494" s="247"/>
      <c r="AQ1494" s="247"/>
      <c r="AR1494" s="247"/>
      <c r="AS1494" s="247"/>
      <c r="AT1494" s="247"/>
      <c r="AU1494" s="247"/>
      <c r="AW1494" s="116"/>
    </row>
    <row r="1495" spans="39:49" ht="13.5" customHeight="1">
      <c r="AM1495" s="247"/>
      <c r="AN1495" s="247"/>
      <c r="AO1495" s="247"/>
      <c r="AP1495" s="247"/>
      <c r="AQ1495" s="247"/>
      <c r="AR1495" s="247"/>
      <c r="AS1495" s="247"/>
      <c r="AT1495" s="247"/>
      <c r="AU1495" s="247"/>
      <c r="AW1495" s="116"/>
    </row>
    <row r="1496" spans="39:49" ht="24" customHeight="1">
      <c r="AM1496" s="247"/>
      <c r="AN1496" s="247"/>
      <c r="AO1496" s="247"/>
      <c r="AP1496" s="247"/>
      <c r="AQ1496" s="247"/>
      <c r="AR1496" s="247"/>
      <c r="AS1496" s="247"/>
      <c r="AT1496" s="247"/>
      <c r="AU1496" s="247"/>
      <c r="AW1496" s="116"/>
    </row>
    <row r="1497" spans="39:49" ht="13.5" customHeight="1">
      <c r="AM1497" s="247"/>
      <c r="AN1497" s="247"/>
      <c r="AO1497" s="247"/>
      <c r="AP1497" s="247"/>
      <c r="AQ1497" s="247"/>
      <c r="AR1497" s="247"/>
      <c r="AS1497" s="247"/>
      <c r="AT1497" s="247"/>
      <c r="AU1497" s="247"/>
      <c r="AW1497" s="116"/>
    </row>
    <row r="1498" spans="39:49" ht="24" customHeight="1">
      <c r="AM1498" s="247"/>
      <c r="AN1498" s="247"/>
      <c r="AO1498" s="247"/>
      <c r="AP1498" s="247"/>
      <c r="AQ1498" s="247"/>
      <c r="AR1498" s="247"/>
      <c r="AS1498" s="247"/>
      <c r="AT1498" s="247"/>
      <c r="AU1498" s="247"/>
      <c r="AW1498" s="116"/>
    </row>
    <row r="1499" spans="39:49" ht="13.5" customHeight="1">
      <c r="AM1499" s="247"/>
      <c r="AN1499" s="247"/>
      <c r="AO1499" s="247"/>
      <c r="AP1499" s="247"/>
      <c r="AQ1499" s="247"/>
      <c r="AR1499" s="247"/>
      <c r="AS1499" s="247"/>
      <c r="AT1499" s="247"/>
      <c r="AU1499" s="247"/>
      <c r="AW1499" s="116"/>
    </row>
    <row r="1500" spans="39:49" ht="24" customHeight="1">
      <c r="AM1500" s="247"/>
      <c r="AN1500" s="247"/>
      <c r="AO1500" s="247"/>
      <c r="AP1500" s="247"/>
      <c r="AQ1500" s="247"/>
      <c r="AR1500" s="247"/>
      <c r="AS1500" s="247"/>
      <c r="AT1500" s="247"/>
      <c r="AU1500" s="247"/>
      <c r="AW1500" s="116"/>
    </row>
    <row r="1501" spans="39:49" ht="13.5" customHeight="1">
      <c r="AM1501" s="247"/>
      <c r="AN1501" s="247"/>
      <c r="AO1501" s="247"/>
      <c r="AP1501" s="247"/>
      <c r="AQ1501" s="247"/>
      <c r="AR1501" s="247"/>
      <c r="AS1501" s="247"/>
      <c r="AT1501" s="247"/>
      <c r="AU1501" s="247"/>
      <c r="AW1501" s="116"/>
    </row>
    <row r="1502" spans="39:49" ht="24" customHeight="1">
      <c r="AM1502" s="247"/>
      <c r="AN1502" s="247"/>
      <c r="AO1502" s="247"/>
      <c r="AP1502" s="247"/>
      <c r="AQ1502" s="247"/>
      <c r="AR1502" s="247"/>
      <c r="AS1502" s="247"/>
      <c r="AT1502" s="247"/>
      <c r="AU1502" s="247"/>
      <c r="AW1502" s="116"/>
    </row>
    <row r="1503" spans="39:49" ht="13.5" customHeight="1">
      <c r="AM1503" s="247"/>
      <c r="AN1503" s="247"/>
      <c r="AO1503" s="247"/>
      <c r="AP1503" s="247"/>
      <c r="AQ1503" s="247"/>
      <c r="AR1503" s="247"/>
      <c r="AS1503" s="247"/>
      <c r="AT1503" s="247"/>
      <c r="AU1503" s="247"/>
      <c r="AW1503" s="116"/>
    </row>
    <row r="1504" spans="39:49" ht="24" customHeight="1">
      <c r="AM1504" s="247"/>
      <c r="AN1504" s="247"/>
      <c r="AO1504" s="247"/>
      <c r="AP1504" s="247"/>
      <c r="AQ1504" s="247"/>
      <c r="AR1504" s="247"/>
      <c r="AS1504" s="247"/>
      <c r="AT1504" s="247"/>
      <c r="AU1504" s="247"/>
      <c r="AW1504" s="116"/>
    </row>
    <row r="1505" spans="39:49" ht="13.5" customHeight="1">
      <c r="AM1505" s="247"/>
      <c r="AN1505" s="247"/>
      <c r="AO1505" s="247"/>
      <c r="AP1505" s="247"/>
      <c r="AQ1505" s="247"/>
      <c r="AR1505" s="247"/>
      <c r="AS1505" s="247"/>
      <c r="AT1505" s="247"/>
      <c r="AU1505" s="247"/>
      <c r="AW1505" s="116"/>
    </row>
    <row r="1506" spans="39:49" ht="24" customHeight="1">
      <c r="AM1506" s="247"/>
      <c r="AN1506" s="247"/>
      <c r="AO1506" s="247"/>
      <c r="AP1506" s="247"/>
      <c r="AQ1506" s="247"/>
      <c r="AR1506" s="247"/>
      <c r="AS1506" s="247"/>
      <c r="AT1506" s="247"/>
      <c r="AU1506" s="247"/>
      <c r="AW1506" s="116"/>
    </row>
    <row r="1507" spans="39:49" ht="13.5" customHeight="1">
      <c r="AM1507" s="247"/>
      <c r="AN1507" s="247"/>
      <c r="AO1507" s="247"/>
      <c r="AP1507" s="247"/>
      <c r="AQ1507" s="247"/>
      <c r="AR1507" s="247"/>
      <c r="AS1507" s="247"/>
      <c r="AT1507" s="247"/>
      <c r="AU1507" s="247"/>
      <c r="AW1507" s="116"/>
    </row>
    <row r="1508" spans="39:49" ht="24" customHeight="1">
      <c r="AM1508" s="247"/>
      <c r="AN1508" s="247"/>
      <c r="AO1508" s="247"/>
      <c r="AP1508" s="247"/>
      <c r="AQ1508" s="247"/>
      <c r="AR1508" s="247"/>
      <c r="AS1508" s="247"/>
      <c r="AT1508" s="247"/>
      <c r="AU1508" s="247"/>
      <c r="AW1508" s="116"/>
    </row>
    <row r="1509" spans="39:49" ht="13.5" customHeight="1">
      <c r="AM1509" s="247"/>
      <c r="AN1509" s="247"/>
      <c r="AO1509" s="247"/>
      <c r="AP1509" s="247"/>
      <c r="AQ1509" s="247"/>
      <c r="AR1509" s="247"/>
      <c r="AS1509" s="247"/>
      <c r="AT1509" s="247"/>
      <c r="AU1509" s="247"/>
      <c r="AW1509" s="116"/>
    </row>
    <row r="1510" spans="39:49" ht="24" customHeight="1">
      <c r="AM1510" s="247"/>
      <c r="AN1510" s="247"/>
      <c r="AO1510" s="247"/>
      <c r="AP1510" s="247"/>
      <c r="AQ1510" s="247"/>
      <c r="AR1510" s="247"/>
      <c r="AS1510" s="247"/>
      <c r="AT1510" s="247"/>
      <c r="AU1510" s="247"/>
      <c r="AW1510" s="116"/>
    </row>
    <row r="1511" spans="39:49" ht="13.5" customHeight="1">
      <c r="AM1511" s="247"/>
      <c r="AN1511" s="247"/>
      <c r="AO1511" s="247"/>
      <c r="AP1511" s="247"/>
      <c r="AQ1511" s="247"/>
      <c r="AR1511" s="247"/>
      <c r="AS1511" s="247"/>
      <c r="AT1511" s="247"/>
      <c r="AU1511" s="247"/>
      <c r="AW1511" s="116"/>
    </row>
    <row r="1512" spans="39:49" ht="24" customHeight="1">
      <c r="AM1512" s="247"/>
      <c r="AN1512" s="247"/>
      <c r="AO1512" s="247"/>
      <c r="AP1512" s="247"/>
      <c r="AQ1512" s="247"/>
      <c r="AR1512" s="247"/>
      <c r="AS1512" s="247"/>
      <c r="AT1512" s="247"/>
      <c r="AU1512" s="247"/>
      <c r="AW1512" s="116"/>
    </row>
    <row r="1513" spans="39:49" ht="13.5" customHeight="1">
      <c r="AM1513" s="247"/>
      <c r="AN1513" s="247"/>
      <c r="AO1513" s="247"/>
      <c r="AP1513" s="247"/>
      <c r="AQ1513" s="247"/>
      <c r="AR1513" s="247"/>
      <c r="AS1513" s="247"/>
      <c r="AT1513" s="247"/>
      <c r="AU1513" s="247"/>
      <c r="AW1513" s="116"/>
    </row>
    <row r="1514" spans="39:49" ht="24" customHeight="1">
      <c r="AM1514" s="247"/>
      <c r="AN1514" s="247"/>
      <c r="AO1514" s="247"/>
      <c r="AP1514" s="247"/>
      <c r="AQ1514" s="247"/>
      <c r="AR1514" s="247"/>
      <c r="AS1514" s="247"/>
      <c r="AT1514" s="247"/>
      <c r="AU1514" s="247"/>
      <c r="AW1514" s="116"/>
    </row>
    <row r="1515" spans="39:49" ht="13.5" customHeight="1">
      <c r="AM1515" s="247"/>
      <c r="AN1515" s="247"/>
      <c r="AO1515" s="247"/>
      <c r="AP1515" s="247"/>
      <c r="AQ1515" s="247"/>
      <c r="AR1515" s="247"/>
      <c r="AS1515" s="247"/>
      <c r="AT1515" s="247"/>
      <c r="AU1515" s="247"/>
      <c r="AW1515" s="116"/>
    </row>
    <row r="1516" spans="39:49" ht="24" customHeight="1">
      <c r="AM1516" s="247"/>
      <c r="AN1516" s="247"/>
      <c r="AO1516" s="247"/>
      <c r="AP1516" s="247"/>
      <c r="AQ1516" s="247"/>
      <c r="AR1516" s="247"/>
      <c r="AS1516" s="247"/>
      <c r="AT1516" s="247"/>
      <c r="AU1516" s="247"/>
      <c r="AW1516" s="116"/>
    </row>
    <row r="1517" spans="39:49" ht="13.5" customHeight="1">
      <c r="AM1517" s="247"/>
      <c r="AN1517" s="247"/>
      <c r="AO1517" s="247"/>
      <c r="AP1517" s="247"/>
      <c r="AQ1517" s="247"/>
      <c r="AR1517" s="247"/>
      <c r="AS1517" s="247"/>
      <c r="AT1517" s="247"/>
      <c r="AU1517" s="247"/>
      <c r="AW1517" s="116"/>
    </row>
    <row r="1518" spans="39:49" ht="24" customHeight="1">
      <c r="AM1518" s="247"/>
      <c r="AN1518" s="247"/>
      <c r="AO1518" s="247"/>
      <c r="AP1518" s="247"/>
      <c r="AQ1518" s="247"/>
      <c r="AR1518" s="247"/>
      <c r="AS1518" s="247"/>
      <c r="AT1518" s="247"/>
      <c r="AU1518" s="247"/>
      <c r="AW1518" s="116"/>
    </row>
    <row r="1519" spans="39:49" ht="13.5" customHeight="1">
      <c r="AM1519" s="247"/>
      <c r="AN1519" s="247"/>
      <c r="AO1519" s="247"/>
      <c r="AP1519" s="247"/>
      <c r="AQ1519" s="247"/>
      <c r="AR1519" s="247"/>
      <c r="AS1519" s="247"/>
      <c r="AT1519" s="247"/>
      <c r="AU1519" s="247"/>
      <c r="AW1519" s="116"/>
    </row>
    <row r="1520" spans="39:49" ht="24" customHeight="1">
      <c r="AM1520" s="247"/>
      <c r="AN1520" s="247"/>
      <c r="AO1520" s="247"/>
      <c r="AP1520" s="247"/>
      <c r="AQ1520" s="247"/>
      <c r="AR1520" s="247"/>
      <c r="AS1520" s="247"/>
      <c r="AT1520" s="247"/>
      <c r="AU1520" s="247"/>
      <c r="AW1520" s="116"/>
    </row>
    <row r="1521" spans="39:49" ht="13.5" customHeight="1">
      <c r="AM1521" s="247"/>
      <c r="AN1521" s="247"/>
      <c r="AO1521" s="247"/>
      <c r="AP1521" s="247"/>
      <c r="AQ1521" s="247"/>
      <c r="AR1521" s="247"/>
      <c r="AS1521" s="247"/>
      <c r="AT1521" s="247"/>
      <c r="AU1521" s="247"/>
      <c r="AW1521" s="116"/>
    </row>
    <row r="1522" spans="39:49" ht="41.25" customHeight="1">
      <c r="AM1522" s="247"/>
      <c r="AN1522" s="247"/>
      <c r="AO1522" s="247"/>
      <c r="AP1522" s="247"/>
      <c r="AQ1522" s="247"/>
      <c r="AR1522" s="247"/>
      <c r="AS1522" s="247"/>
      <c r="AT1522" s="247"/>
      <c r="AU1522" s="247"/>
      <c r="AW1522" s="116"/>
    </row>
    <row r="1523" spans="39:49" ht="23.25" customHeight="1">
      <c r="AM1523" s="247"/>
      <c r="AN1523" s="247"/>
      <c r="AO1523" s="247"/>
      <c r="AP1523" s="247"/>
      <c r="AQ1523" s="247"/>
      <c r="AR1523" s="247"/>
      <c r="AS1523" s="247"/>
      <c r="AT1523" s="247"/>
      <c r="AU1523" s="247"/>
      <c r="AW1523" s="116"/>
    </row>
    <row r="1524" spans="39:49" ht="24" customHeight="1">
      <c r="AM1524" s="247"/>
      <c r="AN1524" s="247"/>
      <c r="AO1524" s="247"/>
      <c r="AP1524" s="247"/>
      <c r="AQ1524" s="247"/>
      <c r="AR1524" s="247"/>
      <c r="AS1524" s="247"/>
      <c r="AT1524" s="247"/>
      <c r="AU1524" s="247"/>
      <c r="AW1524" s="116"/>
    </row>
    <row r="1525" spans="39:49" ht="13.5" customHeight="1">
      <c r="AM1525" s="247"/>
      <c r="AN1525" s="247"/>
      <c r="AO1525" s="247"/>
      <c r="AP1525" s="247"/>
      <c r="AQ1525" s="247"/>
      <c r="AR1525" s="247"/>
      <c r="AS1525" s="247"/>
      <c r="AT1525" s="247"/>
      <c r="AU1525" s="247"/>
      <c r="AW1525" s="116"/>
    </row>
    <row r="1526" spans="39:49" ht="24" customHeight="1">
      <c r="AM1526" s="247"/>
      <c r="AN1526" s="247"/>
      <c r="AO1526" s="247"/>
      <c r="AP1526" s="247"/>
      <c r="AQ1526" s="247"/>
      <c r="AR1526" s="247"/>
      <c r="AS1526" s="247"/>
      <c r="AT1526" s="247"/>
      <c r="AU1526" s="247"/>
      <c r="AW1526" s="116"/>
    </row>
    <row r="1527" spans="39:49" ht="13.5" customHeight="1">
      <c r="AM1527" s="247"/>
      <c r="AN1527" s="247"/>
      <c r="AO1527" s="247"/>
      <c r="AP1527" s="247"/>
      <c r="AQ1527" s="247"/>
      <c r="AR1527" s="247"/>
      <c r="AS1527" s="247"/>
      <c r="AT1527" s="247"/>
      <c r="AU1527" s="247"/>
      <c r="AW1527" s="116"/>
    </row>
    <row r="1528" spans="39:49" ht="24" customHeight="1">
      <c r="AM1528" s="247"/>
      <c r="AN1528" s="247"/>
      <c r="AO1528" s="247"/>
      <c r="AP1528" s="247"/>
      <c r="AQ1528" s="247"/>
      <c r="AR1528" s="247"/>
      <c r="AS1528" s="247"/>
      <c r="AT1528" s="247"/>
      <c r="AU1528" s="247"/>
      <c r="AW1528" s="116"/>
    </row>
    <row r="1529" spans="39:49" ht="13.5" customHeight="1">
      <c r="AM1529" s="247"/>
      <c r="AN1529" s="247"/>
      <c r="AO1529" s="247"/>
      <c r="AP1529" s="247"/>
      <c r="AQ1529" s="247"/>
      <c r="AR1529" s="247"/>
      <c r="AS1529" s="247"/>
      <c r="AT1529" s="247"/>
      <c r="AU1529" s="247"/>
      <c r="AW1529" s="116"/>
    </row>
    <row r="1530" spans="39:49" ht="24" customHeight="1">
      <c r="AM1530" s="247"/>
      <c r="AN1530" s="247"/>
      <c r="AO1530" s="247"/>
      <c r="AP1530" s="247"/>
      <c r="AQ1530" s="247"/>
      <c r="AR1530" s="247"/>
      <c r="AS1530" s="247"/>
      <c r="AT1530" s="247"/>
      <c r="AU1530" s="247"/>
      <c r="AW1530" s="116"/>
    </row>
    <row r="1531" spans="39:49" ht="13.5" customHeight="1">
      <c r="AM1531" s="247"/>
      <c r="AN1531" s="247"/>
      <c r="AO1531" s="247"/>
      <c r="AP1531" s="247"/>
      <c r="AQ1531" s="247"/>
      <c r="AR1531" s="247"/>
      <c r="AS1531" s="247"/>
      <c r="AT1531" s="247"/>
      <c r="AU1531" s="247"/>
      <c r="AW1531" s="116"/>
    </row>
    <row r="1532" spans="39:49" ht="24" customHeight="1">
      <c r="AM1532" s="247"/>
      <c r="AN1532" s="247"/>
      <c r="AO1532" s="247"/>
      <c r="AP1532" s="247"/>
      <c r="AQ1532" s="247"/>
      <c r="AR1532" s="247"/>
      <c r="AS1532" s="247"/>
      <c r="AT1532" s="247"/>
      <c r="AU1532" s="247"/>
      <c r="AW1532" s="116"/>
    </row>
    <row r="1533" spans="39:49" ht="13.5" customHeight="1">
      <c r="AM1533" s="247"/>
      <c r="AN1533" s="247"/>
      <c r="AO1533" s="247"/>
      <c r="AP1533" s="247"/>
      <c r="AQ1533" s="247"/>
      <c r="AR1533" s="247"/>
      <c r="AS1533" s="247"/>
      <c r="AT1533" s="247"/>
      <c r="AU1533" s="247"/>
      <c r="AW1533" s="116"/>
    </row>
    <row r="1534" spans="39:49" ht="24" customHeight="1">
      <c r="AM1534" s="247"/>
      <c r="AN1534" s="247"/>
      <c r="AO1534" s="247"/>
      <c r="AP1534" s="247"/>
      <c r="AQ1534" s="247"/>
      <c r="AR1534" s="247"/>
      <c r="AS1534" s="247"/>
      <c r="AT1534" s="247"/>
      <c r="AU1534" s="247"/>
      <c r="AW1534" s="116"/>
    </row>
    <row r="1535" spans="39:49" ht="13.5" customHeight="1">
      <c r="AM1535" s="247"/>
      <c r="AN1535" s="247"/>
      <c r="AO1535" s="247"/>
      <c r="AP1535" s="247"/>
      <c r="AQ1535" s="247"/>
      <c r="AR1535" s="247"/>
      <c r="AS1535" s="247"/>
      <c r="AT1535" s="247"/>
      <c r="AU1535" s="247"/>
      <c r="AW1535" s="116"/>
    </row>
    <row r="1536" spans="39:49" ht="24" customHeight="1">
      <c r="AM1536" s="247"/>
      <c r="AN1536" s="247"/>
      <c r="AO1536" s="247"/>
      <c r="AP1536" s="247"/>
      <c r="AQ1536" s="247"/>
      <c r="AR1536" s="247"/>
      <c r="AS1536" s="247"/>
      <c r="AT1536" s="247"/>
      <c r="AU1536" s="247"/>
      <c r="AW1536" s="116"/>
    </row>
    <row r="1537" spans="39:49" ht="13.5" customHeight="1">
      <c r="AM1537" s="247"/>
      <c r="AN1537" s="247"/>
      <c r="AO1537" s="247"/>
      <c r="AP1537" s="247"/>
      <c r="AQ1537" s="247"/>
      <c r="AR1537" s="247"/>
      <c r="AS1537" s="247"/>
      <c r="AT1537" s="247"/>
      <c r="AU1537" s="247"/>
      <c r="AW1537" s="116"/>
    </row>
    <row r="1538" spans="39:49" ht="24" customHeight="1">
      <c r="AM1538" s="247"/>
      <c r="AN1538" s="247"/>
      <c r="AO1538" s="247"/>
      <c r="AP1538" s="247"/>
      <c r="AQ1538" s="247"/>
      <c r="AR1538" s="247"/>
      <c r="AS1538" s="247"/>
      <c r="AT1538" s="247"/>
      <c r="AU1538" s="247"/>
      <c r="AW1538" s="116"/>
    </row>
    <row r="1539" spans="39:49" ht="13.5" customHeight="1">
      <c r="AM1539" s="247"/>
      <c r="AN1539" s="247"/>
      <c r="AO1539" s="247"/>
      <c r="AP1539" s="247"/>
      <c r="AQ1539" s="247"/>
      <c r="AR1539" s="247"/>
      <c r="AS1539" s="247"/>
      <c r="AT1539" s="247"/>
      <c r="AU1539" s="247"/>
      <c r="AW1539" s="116"/>
    </row>
    <row r="1540" spans="39:49" ht="24" customHeight="1">
      <c r="AM1540" s="247"/>
      <c r="AN1540" s="247"/>
      <c r="AO1540" s="247"/>
      <c r="AP1540" s="247"/>
      <c r="AQ1540" s="247"/>
      <c r="AR1540" s="247"/>
      <c r="AS1540" s="247"/>
      <c r="AT1540" s="247"/>
      <c r="AU1540" s="247"/>
      <c r="AW1540" s="116"/>
    </row>
    <row r="1541" spans="39:49" ht="13.5" customHeight="1">
      <c r="AM1541" s="247"/>
      <c r="AN1541" s="247"/>
      <c r="AO1541" s="247"/>
      <c r="AP1541" s="247"/>
      <c r="AQ1541" s="247"/>
      <c r="AR1541" s="247"/>
      <c r="AS1541" s="247"/>
      <c r="AT1541" s="247"/>
      <c r="AU1541" s="247"/>
      <c r="AW1541" s="116"/>
    </row>
    <row r="1542" spans="39:49" ht="24" customHeight="1">
      <c r="AM1542" s="247"/>
      <c r="AN1542" s="247"/>
      <c r="AO1542" s="247"/>
      <c r="AP1542" s="247"/>
      <c r="AQ1542" s="247"/>
      <c r="AR1542" s="247"/>
      <c r="AS1542" s="247"/>
      <c r="AT1542" s="247"/>
      <c r="AU1542" s="247"/>
      <c r="AW1542" s="116"/>
    </row>
    <row r="1543" spans="39:49" ht="13.5" customHeight="1">
      <c r="AM1543" s="247"/>
      <c r="AN1543" s="247"/>
      <c r="AO1543" s="247"/>
      <c r="AP1543" s="247"/>
      <c r="AQ1543" s="247"/>
      <c r="AR1543" s="247"/>
      <c r="AS1543" s="247"/>
      <c r="AT1543" s="247"/>
      <c r="AU1543" s="247"/>
      <c r="AW1543" s="116"/>
    </row>
    <row r="1544" spans="39:49" ht="24" customHeight="1">
      <c r="AM1544" s="247"/>
      <c r="AN1544" s="247"/>
      <c r="AO1544" s="247"/>
      <c r="AP1544" s="247"/>
      <c r="AQ1544" s="247"/>
      <c r="AR1544" s="247"/>
      <c r="AS1544" s="247"/>
      <c r="AT1544" s="247"/>
      <c r="AU1544" s="247"/>
      <c r="AW1544" s="116"/>
    </row>
    <row r="1545" spans="39:49" ht="13.5" customHeight="1">
      <c r="AM1545" s="247"/>
      <c r="AN1545" s="247"/>
      <c r="AO1545" s="247"/>
      <c r="AP1545" s="247"/>
      <c r="AQ1545" s="247"/>
      <c r="AR1545" s="247"/>
      <c r="AS1545" s="247"/>
      <c r="AT1545" s="247"/>
      <c r="AU1545" s="247"/>
      <c r="AW1545" s="116"/>
    </row>
    <row r="1546" spans="39:49" ht="24" customHeight="1">
      <c r="AM1546" s="247"/>
      <c r="AN1546" s="247"/>
      <c r="AO1546" s="247"/>
      <c r="AP1546" s="247"/>
      <c r="AQ1546" s="247"/>
      <c r="AR1546" s="247"/>
      <c r="AS1546" s="247"/>
      <c r="AT1546" s="247"/>
      <c r="AU1546" s="247"/>
      <c r="AW1546" s="116"/>
    </row>
    <row r="1547" spans="39:49" ht="13.5" customHeight="1">
      <c r="AM1547" s="247"/>
      <c r="AN1547" s="247"/>
      <c r="AO1547" s="247"/>
      <c r="AP1547" s="247"/>
      <c r="AQ1547" s="247"/>
      <c r="AR1547" s="247"/>
      <c r="AS1547" s="247"/>
      <c r="AT1547" s="247"/>
      <c r="AU1547" s="247"/>
      <c r="AW1547" s="116"/>
    </row>
    <row r="1548" spans="39:49" ht="24" customHeight="1">
      <c r="AM1548" s="247"/>
      <c r="AN1548" s="247"/>
      <c r="AO1548" s="247"/>
      <c r="AP1548" s="247"/>
      <c r="AQ1548" s="247"/>
      <c r="AR1548" s="247"/>
      <c r="AS1548" s="247"/>
      <c r="AT1548" s="247"/>
      <c r="AU1548" s="247"/>
      <c r="AW1548" s="116"/>
    </row>
    <row r="1549" spans="39:49" ht="13.5" customHeight="1">
      <c r="AM1549" s="247"/>
      <c r="AN1549" s="247"/>
      <c r="AO1549" s="247"/>
      <c r="AP1549" s="247"/>
      <c r="AQ1549" s="247"/>
      <c r="AR1549" s="247"/>
      <c r="AS1549" s="247"/>
      <c r="AT1549" s="247"/>
      <c r="AU1549" s="247"/>
      <c r="AW1549" s="116"/>
    </row>
    <row r="1550" spans="39:49" ht="24" customHeight="1">
      <c r="AM1550" s="247"/>
      <c r="AN1550" s="247"/>
      <c r="AO1550" s="247"/>
      <c r="AP1550" s="247"/>
      <c r="AQ1550" s="247"/>
      <c r="AR1550" s="247"/>
      <c r="AS1550" s="247"/>
      <c r="AT1550" s="247"/>
      <c r="AU1550" s="247"/>
      <c r="AW1550" s="116"/>
    </row>
    <row r="1551" spans="39:49" ht="13.5" customHeight="1">
      <c r="AM1551" s="247"/>
      <c r="AN1551" s="247"/>
      <c r="AO1551" s="247"/>
      <c r="AP1551" s="247"/>
      <c r="AQ1551" s="247"/>
      <c r="AR1551" s="247"/>
      <c r="AS1551" s="247"/>
      <c r="AT1551" s="247"/>
      <c r="AU1551" s="247"/>
      <c r="AW1551" s="116"/>
    </row>
    <row r="1552" spans="39:49" ht="24" customHeight="1">
      <c r="AM1552" s="247"/>
      <c r="AN1552" s="247"/>
      <c r="AO1552" s="247"/>
      <c r="AP1552" s="247"/>
      <c r="AQ1552" s="247"/>
      <c r="AR1552" s="247"/>
      <c r="AS1552" s="247"/>
      <c r="AT1552" s="247"/>
      <c r="AU1552" s="247"/>
      <c r="AW1552" s="116"/>
    </row>
    <row r="1553" spans="39:49" ht="13.5" customHeight="1">
      <c r="AM1553" s="247"/>
      <c r="AN1553" s="247"/>
      <c r="AO1553" s="247"/>
      <c r="AP1553" s="247"/>
      <c r="AQ1553" s="247"/>
      <c r="AR1553" s="247"/>
      <c r="AS1553" s="247"/>
      <c r="AT1553" s="247"/>
      <c r="AU1553" s="247"/>
      <c r="AW1553" s="116"/>
    </row>
    <row r="1554" spans="39:49" ht="24" customHeight="1">
      <c r="AM1554" s="247"/>
      <c r="AN1554" s="247"/>
      <c r="AO1554" s="247"/>
      <c r="AP1554" s="247"/>
      <c r="AQ1554" s="247"/>
      <c r="AR1554" s="247"/>
      <c r="AS1554" s="247"/>
      <c r="AT1554" s="247"/>
      <c r="AU1554" s="247"/>
      <c r="AW1554" s="116"/>
    </row>
    <row r="1555" spans="39:49" ht="13.5" customHeight="1">
      <c r="AM1555" s="247"/>
      <c r="AN1555" s="247"/>
      <c r="AO1555" s="247"/>
      <c r="AP1555" s="247"/>
      <c r="AQ1555" s="247"/>
      <c r="AR1555" s="247"/>
      <c r="AS1555" s="247"/>
      <c r="AT1555" s="247"/>
      <c r="AU1555" s="247"/>
      <c r="AW1555" s="116"/>
    </row>
    <row r="1556" spans="39:49" ht="31.5" customHeight="1">
      <c r="AM1556" s="247"/>
      <c r="AN1556" s="247"/>
      <c r="AO1556" s="247"/>
      <c r="AP1556" s="247"/>
      <c r="AQ1556" s="247"/>
      <c r="AR1556" s="247"/>
      <c r="AS1556" s="247"/>
      <c r="AT1556" s="247"/>
      <c r="AU1556" s="247"/>
      <c r="AW1556" s="116"/>
    </row>
    <row r="1557" spans="39:49" ht="13.5" customHeight="1">
      <c r="AM1557" s="247"/>
      <c r="AN1557" s="247"/>
      <c r="AO1557" s="247"/>
      <c r="AP1557" s="247"/>
      <c r="AQ1557" s="247"/>
      <c r="AR1557" s="247"/>
      <c r="AS1557" s="247"/>
      <c r="AT1557" s="247"/>
      <c r="AU1557" s="247"/>
      <c r="AW1557" s="116"/>
    </row>
    <row r="1558" spans="39:49" ht="24" customHeight="1">
      <c r="AM1558" s="247"/>
      <c r="AN1558" s="247"/>
      <c r="AO1558" s="247"/>
      <c r="AP1558" s="247"/>
      <c r="AQ1558" s="247"/>
      <c r="AR1558" s="247"/>
      <c r="AS1558" s="247"/>
      <c r="AT1558" s="247"/>
      <c r="AU1558" s="247"/>
      <c r="AW1558" s="116"/>
    </row>
    <row r="1559" spans="39:49" ht="13.5" customHeight="1">
      <c r="AM1559" s="247"/>
      <c r="AN1559" s="247"/>
      <c r="AO1559" s="247"/>
      <c r="AP1559" s="247"/>
      <c r="AQ1559" s="247"/>
      <c r="AR1559" s="247"/>
      <c r="AS1559" s="247"/>
      <c r="AT1559" s="247"/>
      <c r="AU1559" s="247"/>
      <c r="AW1559" s="116"/>
    </row>
    <row r="1560" spans="39:49" ht="24" customHeight="1">
      <c r="AM1560" s="247"/>
      <c r="AN1560" s="247"/>
      <c r="AO1560" s="247"/>
      <c r="AP1560" s="247"/>
      <c r="AQ1560" s="247"/>
      <c r="AR1560" s="247"/>
      <c r="AS1560" s="247"/>
      <c r="AT1560" s="247"/>
      <c r="AU1560" s="247"/>
      <c r="AW1560" s="116"/>
    </row>
    <row r="1561" spans="39:49" ht="13.5" customHeight="1">
      <c r="AM1561" s="247"/>
      <c r="AN1561" s="247"/>
      <c r="AO1561" s="247"/>
      <c r="AP1561" s="247"/>
      <c r="AQ1561" s="247"/>
      <c r="AR1561" s="247"/>
      <c r="AS1561" s="247"/>
      <c r="AT1561" s="247"/>
      <c r="AU1561" s="247"/>
      <c r="AW1561" s="116"/>
    </row>
    <row r="1562" spans="39:49" ht="24" customHeight="1">
      <c r="AM1562" s="247"/>
      <c r="AN1562" s="247"/>
      <c r="AO1562" s="247"/>
      <c r="AP1562" s="247"/>
      <c r="AQ1562" s="247"/>
      <c r="AR1562" s="247"/>
      <c r="AS1562" s="247"/>
      <c r="AT1562" s="247"/>
      <c r="AU1562" s="247"/>
      <c r="AW1562" s="116"/>
    </row>
    <row r="1563" spans="39:49" ht="13.5" customHeight="1">
      <c r="AM1563" s="247"/>
      <c r="AN1563" s="247"/>
      <c r="AO1563" s="247"/>
      <c r="AP1563" s="247"/>
      <c r="AQ1563" s="247"/>
      <c r="AR1563" s="247"/>
      <c r="AS1563" s="247"/>
      <c r="AT1563" s="247"/>
      <c r="AU1563" s="247"/>
      <c r="AW1563" s="116"/>
    </row>
    <row r="1564" spans="39:49" ht="24" customHeight="1">
      <c r="AM1564" s="247"/>
      <c r="AN1564" s="247"/>
      <c r="AO1564" s="247"/>
      <c r="AP1564" s="247"/>
      <c r="AQ1564" s="247"/>
      <c r="AR1564" s="247"/>
      <c r="AS1564" s="247"/>
      <c r="AT1564" s="247"/>
      <c r="AU1564" s="247"/>
      <c r="AW1564" s="116"/>
    </row>
    <row r="1565" spans="39:49" ht="13.5" customHeight="1">
      <c r="AM1565" s="247"/>
      <c r="AN1565" s="247"/>
      <c r="AO1565" s="247"/>
      <c r="AP1565" s="247"/>
      <c r="AQ1565" s="247"/>
      <c r="AR1565" s="247"/>
      <c r="AS1565" s="247"/>
      <c r="AT1565" s="247"/>
      <c r="AU1565" s="247"/>
      <c r="AW1565" s="116"/>
    </row>
    <row r="1566" spans="39:49" ht="24" customHeight="1">
      <c r="AM1566" s="247"/>
      <c r="AN1566" s="247"/>
      <c r="AO1566" s="247"/>
      <c r="AP1566" s="247"/>
      <c r="AQ1566" s="247"/>
      <c r="AR1566" s="247"/>
      <c r="AS1566" s="247"/>
      <c r="AT1566" s="247"/>
      <c r="AU1566" s="247"/>
      <c r="AW1566" s="116"/>
    </row>
    <row r="1567" spans="39:49" ht="13.5" customHeight="1">
      <c r="AM1567" s="247"/>
      <c r="AN1567" s="247"/>
      <c r="AO1567" s="247"/>
      <c r="AP1567" s="247"/>
      <c r="AQ1567" s="247"/>
      <c r="AR1567" s="247"/>
      <c r="AS1567" s="247"/>
      <c r="AT1567" s="247"/>
      <c r="AU1567" s="247"/>
      <c r="AW1567" s="116"/>
    </row>
    <row r="1568" spans="39:49" ht="24" customHeight="1">
      <c r="AM1568" s="247"/>
      <c r="AN1568" s="247"/>
      <c r="AO1568" s="247"/>
      <c r="AP1568" s="247"/>
      <c r="AQ1568" s="247"/>
      <c r="AR1568" s="247"/>
      <c r="AS1568" s="247"/>
      <c r="AT1568" s="247"/>
      <c r="AU1568" s="247"/>
      <c r="AW1568" s="116"/>
    </row>
    <row r="1569" spans="39:49" ht="13.5" customHeight="1">
      <c r="AM1569" s="247"/>
      <c r="AN1569" s="247"/>
      <c r="AO1569" s="247"/>
      <c r="AP1569" s="247"/>
      <c r="AQ1569" s="247"/>
      <c r="AR1569" s="247"/>
      <c r="AS1569" s="247"/>
      <c r="AT1569" s="247"/>
      <c r="AU1569" s="247"/>
      <c r="AW1569" s="116"/>
    </row>
    <row r="1570" spans="39:49" ht="24" customHeight="1">
      <c r="AM1570" s="247"/>
      <c r="AN1570" s="247"/>
      <c r="AO1570" s="247"/>
      <c r="AP1570" s="247"/>
      <c r="AQ1570" s="247"/>
      <c r="AR1570" s="247"/>
      <c r="AS1570" s="247"/>
      <c r="AT1570" s="247"/>
      <c r="AU1570" s="247"/>
      <c r="AW1570" s="116"/>
    </row>
    <row r="1571" spans="39:49" ht="13.5" customHeight="1">
      <c r="AM1571" s="247"/>
      <c r="AN1571" s="247"/>
      <c r="AO1571" s="247"/>
      <c r="AP1571" s="247"/>
      <c r="AQ1571" s="247"/>
      <c r="AR1571" s="247"/>
      <c r="AS1571" s="247"/>
      <c r="AT1571" s="247"/>
      <c r="AU1571" s="247"/>
      <c r="AW1571" s="116"/>
    </row>
    <row r="1572" spans="39:49" ht="24" customHeight="1">
      <c r="AM1572" s="247"/>
      <c r="AN1572" s="247"/>
      <c r="AO1572" s="247"/>
      <c r="AP1572" s="247"/>
      <c r="AQ1572" s="247"/>
      <c r="AR1572" s="247"/>
      <c r="AS1572" s="247"/>
      <c r="AT1572" s="247"/>
      <c r="AU1572" s="247"/>
      <c r="AW1572" s="116"/>
    </row>
    <row r="1573" spans="39:49" ht="13.5" customHeight="1">
      <c r="AM1573" s="247"/>
      <c r="AN1573" s="247"/>
      <c r="AO1573" s="247"/>
      <c r="AP1573" s="247"/>
      <c r="AQ1573" s="247"/>
      <c r="AR1573" s="247"/>
      <c r="AS1573" s="247"/>
      <c r="AT1573" s="247"/>
      <c r="AU1573" s="247"/>
      <c r="AW1573" s="116"/>
    </row>
    <row r="1574" spans="39:49" ht="24" customHeight="1">
      <c r="AM1574" s="247"/>
      <c r="AN1574" s="247"/>
      <c r="AO1574" s="247"/>
      <c r="AP1574" s="247"/>
      <c r="AQ1574" s="247"/>
      <c r="AR1574" s="247"/>
      <c r="AS1574" s="247"/>
      <c r="AT1574" s="247"/>
      <c r="AU1574" s="247"/>
      <c r="AW1574" s="116"/>
    </row>
    <row r="1575" spans="39:49" ht="13.5" customHeight="1">
      <c r="AM1575" s="247"/>
      <c r="AN1575" s="247"/>
      <c r="AO1575" s="247"/>
      <c r="AP1575" s="247"/>
      <c r="AQ1575" s="247"/>
      <c r="AR1575" s="247"/>
      <c r="AS1575" s="247"/>
      <c r="AT1575" s="247"/>
      <c r="AU1575" s="247"/>
      <c r="AW1575" s="116"/>
    </row>
    <row r="1576" spans="39:49" ht="24" customHeight="1">
      <c r="AM1576" s="247"/>
      <c r="AN1576" s="247"/>
      <c r="AO1576" s="247"/>
      <c r="AP1576" s="247"/>
      <c r="AQ1576" s="247"/>
      <c r="AR1576" s="247"/>
      <c r="AS1576" s="247"/>
      <c r="AT1576" s="247"/>
      <c r="AU1576" s="247"/>
      <c r="AW1576" s="116"/>
    </row>
    <row r="1577" spans="39:49" ht="13.5" customHeight="1">
      <c r="AM1577" s="247"/>
      <c r="AN1577" s="247"/>
      <c r="AO1577" s="247"/>
      <c r="AP1577" s="247"/>
      <c r="AQ1577" s="247"/>
      <c r="AR1577" s="247"/>
      <c r="AS1577" s="247"/>
      <c r="AT1577" s="247"/>
      <c r="AU1577" s="247"/>
      <c r="AW1577" s="116"/>
    </row>
    <row r="1578" spans="39:49" ht="24" customHeight="1">
      <c r="AM1578" s="247"/>
      <c r="AN1578" s="247"/>
      <c r="AO1578" s="247"/>
      <c r="AP1578" s="247"/>
      <c r="AQ1578" s="247"/>
      <c r="AR1578" s="247"/>
      <c r="AS1578" s="247"/>
      <c r="AT1578" s="247"/>
      <c r="AU1578" s="247"/>
      <c r="AW1578" s="116"/>
    </row>
    <row r="1579" spans="39:49" ht="13.5" customHeight="1">
      <c r="AM1579" s="247"/>
      <c r="AN1579" s="247"/>
      <c r="AO1579" s="247"/>
      <c r="AP1579" s="247"/>
      <c r="AQ1579" s="247"/>
      <c r="AR1579" s="247"/>
      <c r="AS1579" s="247"/>
      <c r="AT1579" s="247"/>
      <c r="AU1579" s="247"/>
      <c r="AW1579" s="116"/>
    </row>
    <row r="1580" spans="39:49" ht="24" customHeight="1">
      <c r="AM1580" s="247"/>
      <c r="AN1580" s="247"/>
      <c r="AO1580" s="247"/>
      <c r="AP1580" s="247"/>
      <c r="AQ1580" s="247"/>
      <c r="AR1580" s="247"/>
      <c r="AS1580" s="247"/>
      <c r="AT1580" s="247"/>
      <c r="AU1580" s="247"/>
      <c r="AW1580" s="116"/>
    </row>
    <row r="1581" spans="39:49" ht="13.5" customHeight="1">
      <c r="AM1581" s="247"/>
      <c r="AN1581" s="247"/>
      <c r="AO1581" s="247"/>
      <c r="AP1581" s="247"/>
      <c r="AQ1581" s="247"/>
      <c r="AR1581" s="247"/>
      <c r="AS1581" s="247"/>
      <c r="AT1581" s="247"/>
      <c r="AU1581" s="247"/>
      <c r="AW1581" s="116"/>
    </row>
    <row r="1582" spans="39:49" ht="36.75" customHeight="1">
      <c r="AM1582" s="247"/>
      <c r="AN1582" s="247"/>
      <c r="AO1582" s="247"/>
      <c r="AP1582" s="247"/>
      <c r="AQ1582" s="247"/>
      <c r="AR1582" s="247"/>
      <c r="AS1582" s="247"/>
      <c r="AT1582" s="247"/>
      <c r="AU1582" s="247"/>
      <c r="AW1582" s="116"/>
    </row>
    <row r="1583" spans="39:49" ht="13.5" customHeight="1">
      <c r="AM1583" s="247"/>
      <c r="AN1583" s="247"/>
      <c r="AO1583" s="247"/>
      <c r="AP1583" s="247"/>
      <c r="AQ1583" s="247"/>
      <c r="AR1583" s="247"/>
      <c r="AS1583" s="247"/>
      <c r="AT1583" s="247"/>
      <c r="AU1583" s="247"/>
      <c r="AW1583" s="116"/>
    </row>
    <row r="1584" spans="39:49" ht="24" customHeight="1">
      <c r="AM1584" s="247"/>
      <c r="AN1584" s="247"/>
      <c r="AO1584" s="247"/>
      <c r="AP1584" s="247"/>
      <c r="AQ1584" s="247"/>
      <c r="AR1584" s="247"/>
      <c r="AS1584" s="247"/>
      <c r="AT1584" s="247"/>
      <c r="AU1584" s="247"/>
      <c r="AW1584" s="116"/>
    </row>
    <row r="1585" spans="39:49" ht="13.5" customHeight="1">
      <c r="AM1585" s="247"/>
      <c r="AN1585" s="247"/>
      <c r="AO1585" s="247"/>
      <c r="AP1585" s="247"/>
      <c r="AQ1585" s="247"/>
      <c r="AR1585" s="247"/>
      <c r="AS1585" s="247"/>
      <c r="AT1585" s="247"/>
      <c r="AU1585" s="247"/>
      <c r="AW1585" s="116"/>
    </row>
    <row r="1586" spans="39:49" ht="24" customHeight="1">
      <c r="AM1586" s="247"/>
      <c r="AN1586" s="247"/>
      <c r="AO1586" s="247"/>
      <c r="AP1586" s="247"/>
      <c r="AQ1586" s="247"/>
      <c r="AR1586" s="247"/>
      <c r="AS1586" s="247"/>
      <c r="AT1586" s="247"/>
      <c r="AU1586" s="247"/>
      <c r="AW1586" s="116"/>
    </row>
    <row r="1587" spans="39:49" ht="13.5" customHeight="1">
      <c r="AM1587" s="247"/>
      <c r="AN1587" s="247"/>
      <c r="AO1587" s="247"/>
      <c r="AP1587" s="247"/>
      <c r="AQ1587" s="247"/>
      <c r="AR1587" s="247"/>
      <c r="AS1587" s="247"/>
      <c r="AT1587" s="247"/>
      <c r="AU1587" s="247"/>
      <c r="AW1587" s="116"/>
    </row>
    <row r="1588" spans="39:49" ht="24" customHeight="1">
      <c r="AM1588" s="247"/>
      <c r="AN1588" s="247"/>
      <c r="AO1588" s="247"/>
      <c r="AP1588" s="247"/>
      <c r="AQ1588" s="247"/>
      <c r="AR1588" s="247"/>
      <c r="AS1588" s="247"/>
      <c r="AT1588" s="247"/>
      <c r="AU1588" s="247"/>
      <c r="AW1588" s="116"/>
    </row>
    <row r="1589" spans="39:49" ht="13.5" customHeight="1">
      <c r="AM1589" s="247"/>
      <c r="AN1589" s="247"/>
      <c r="AO1589" s="247"/>
      <c r="AP1589" s="247"/>
      <c r="AQ1589" s="247"/>
      <c r="AR1589" s="247"/>
      <c r="AS1589" s="247"/>
      <c r="AT1589" s="247"/>
      <c r="AU1589" s="247"/>
      <c r="AW1589" s="116"/>
    </row>
    <row r="1590" spans="39:49" ht="24" customHeight="1">
      <c r="AM1590" s="247"/>
      <c r="AN1590" s="247"/>
      <c r="AO1590" s="247"/>
      <c r="AP1590" s="247"/>
      <c r="AQ1590" s="247"/>
      <c r="AR1590" s="247"/>
      <c r="AS1590" s="247"/>
      <c r="AT1590" s="247"/>
      <c r="AU1590" s="247"/>
      <c r="AW1590" s="116"/>
    </row>
    <row r="1591" spans="39:49" ht="13.5" customHeight="1">
      <c r="AM1591" s="247"/>
      <c r="AN1591" s="247"/>
      <c r="AO1591" s="247"/>
      <c r="AP1591" s="247"/>
      <c r="AQ1591" s="247"/>
      <c r="AR1591" s="247"/>
      <c r="AS1591" s="247"/>
      <c r="AT1591" s="247"/>
      <c r="AU1591" s="247"/>
      <c r="AW1591" s="116"/>
    </row>
    <row r="1592" spans="39:49" ht="24" customHeight="1">
      <c r="AM1592" s="247"/>
      <c r="AN1592" s="247"/>
      <c r="AO1592" s="247"/>
      <c r="AP1592" s="247"/>
      <c r="AQ1592" s="247"/>
      <c r="AR1592" s="247"/>
      <c r="AS1592" s="247"/>
      <c r="AT1592" s="247"/>
      <c r="AU1592" s="247"/>
      <c r="AW1592" s="116"/>
    </row>
    <row r="1593" spans="39:49" ht="13.5" customHeight="1">
      <c r="AM1593" s="247"/>
      <c r="AN1593" s="247"/>
      <c r="AO1593" s="247"/>
      <c r="AP1593" s="247"/>
      <c r="AQ1593" s="247"/>
      <c r="AR1593" s="247"/>
      <c r="AS1593" s="247"/>
      <c r="AT1593" s="247"/>
      <c r="AU1593" s="247"/>
      <c r="AW1593" s="116"/>
    </row>
    <row r="1594" spans="39:49" ht="24" customHeight="1">
      <c r="AM1594" s="247"/>
      <c r="AN1594" s="247"/>
      <c r="AO1594" s="247"/>
      <c r="AP1594" s="247"/>
      <c r="AQ1594" s="247"/>
      <c r="AR1594" s="247"/>
      <c r="AS1594" s="247"/>
      <c r="AT1594" s="247"/>
      <c r="AU1594" s="247"/>
      <c r="AW1594" s="116"/>
    </row>
    <row r="1595" spans="39:49" ht="13.5" customHeight="1">
      <c r="AM1595" s="247"/>
      <c r="AN1595" s="247"/>
      <c r="AO1595" s="247"/>
      <c r="AP1595" s="247"/>
      <c r="AQ1595" s="247"/>
      <c r="AR1595" s="247"/>
      <c r="AS1595" s="247"/>
      <c r="AT1595" s="247"/>
      <c r="AU1595" s="247"/>
      <c r="AW1595" s="116"/>
    </row>
    <row r="1596" spans="39:49" ht="43.5" customHeight="1">
      <c r="AM1596" s="247"/>
      <c r="AN1596" s="247"/>
      <c r="AO1596" s="247"/>
      <c r="AP1596" s="247"/>
      <c r="AQ1596" s="247"/>
      <c r="AR1596" s="247"/>
      <c r="AS1596" s="247"/>
      <c r="AT1596" s="247"/>
      <c r="AU1596" s="247"/>
      <c r="AW1596" s="116"/>
    </row>
    <row r="1597" spans="39:49" ht="13.5" customHeight="1">
      <c r="AM1597" s="247"/>
      <c r="AN1597" s="247"/>
      <c r="AO1597" s="247"/>
      <c r="AP1597" s="247"/>
      <c r="AQ1597" s="247"/>
      <c r="AR1597" s="247"/>
      <c r="AS1597" s="247"/>
      <c r="AT1597" s="247"/>
      <c r="AU1597" s="247"/>
      <c r="AW1597" s="116"/>
    </row>
    <row r="1598" spans="39:49" ht="24" customHeight="1">
      <c r="AM1598" s="247"/>
      <c r="AN1598" s="247"/>
      <c r="AO1598" s="247"/>
      <c r="AP1598" s="247"/>
      <c r="AQ1598" s="247"/>
      <c r="AR1598" s="247"/>
      <c r="AS1598" s="247"/>
      <c r="AT1598" s="247"/>
      <c r="AU1598" s="247"/>
      <c r="AW1598" s="116"/>
    </row>
    <row r="1599" spans="39:49" ht="13.5" customHeight="1">
      <c r="AM1599" s="247"/>
      <c r="AN1599" s="247"/>
      <c r="AO1599" s="247"/>
      <c r="AP1599" s="247"/>
      <c r="AQ1599" s="247"/>
      <c r="AR1599" s="247"/>
      <c r="AS1599" s="247"/>
      <c r="AT1599" s="247"/>
      <c r="AU1599" s="247"/>
      <c r="AW1599" s="116"/>
    </row>
    <row r="1600" spans="39:49" ht="24" customHeight="1">
      <c r="AM1600" s="247"/>
      <c r="AN1600" s="247"/>
      <c r="AO1600" s="247"/>
      <c r="AP1600" s="247"/>
      <c r="AQ1600" s="247"/>
      <c r="AR1600" s="247"/>
      <c r="AS1600" s="247"/>
      <c r="AT1600" s="247"/>
      <c r="AU1600" s="247"/>
      <c r="AW1600" s="116"/>
    </row>
    <row r="1601" spans="39:49" ht="13.5" customHeight="1">
      <c r="AM1601" s="247"/>
      <c r="AN1601" s="247"/>
      <c r="AO1601" s="247"/>
      <c r="AP1601" s="247"/>
      <c r="AQ1601" s="247"/>
      <c r="AR1601" s="247"/>
      <c r="AS1601" s="247"/>
      <c r="AT1601" s="247"/>
      <c r="AU1601" s="247"/>
      <c r="AW1601" s="116"/>
    </row>
    <row r="1602" spans="39:49" ht="24" customHeight="1">
      <c r="AM1602" s="247"/>
      <c r="AN1602" s="247"/>
      <c r="AO1602" s="247"/>
      <c r="AP1602" s="247"/>
      <c r="AQ1602" s="247"/>
      <c r="AR1602" s="247"/>
      <c r="AS1602" s="247"/>
      <c r="AT1602" s="247"/>
      <c r="AU1602" s="247"/>
      <c r="AW1602" s="116"/>
    </row>
    <row r="1603" spans="39:49" ht="13.5" customHeight="1">
      <c r="AM1603" s="247"/>
      <c r="AN1603" s="247"/>
      <c r="AO1603" s="247"/>
      <c r="AP1603" s="247"/>
      <c r="AQ1603" s="247"/>
      <c r="AR1603" s="247"/>
      <c r="AS1603" s="247"/>
      <c r="AT1603" s="247"/>
      <c r="AU1603" s="247"/>
      <c r="AW1603" s="116"/>
    </row>
    <row r="1604" spans="39:49" ht="24" customHeight="1">
      <c r="AM1604" s="247"/>
      <c r="AN1604" s="247"/>
      <c r="AO1604" s="247"/>
      <c r="AP1604" s="247"/>
      <c r="AQ1604" s="247"/>
      <c r="AR1604" s="247"/>
      <c r="AS1604" s="247"/>
      <c r="AT1604" s="247"/>
      <c r="AU1604" s="247"/>
      <c r="AW1604" s="116"/>
    </row>
    <row r="1605" spans="39:49" ht="13.5" customHeight="1">
      <c r="AM1605" s="247"/>
      <c r="AN1605" s="247"/>
      <c r="AO1605" s="247"/>
      <c r="AP1605" s="247"/>
      <c r="AQ1605" s="247"/>
      <c r="AR1605" s="247"/>
      <c r="AS1605" s="247"/>
      <c r="AT1605" s="247"/>
      <c r="AU1605" s="247"/>
      <c r="AW1605" s="116"/>
    </row>
    <row r="1606" spans="39:49" ht="24" customHeight="1">
      <c r="AM1606" s="247"/>
      <c r="AN1606" s="247"/>
      <c r="AO1606" s="247"/>
      <c r="AP1606" s="247"/>
      <c r="AQ1606" s="247"/>
      <c r="AR1606" s="247"/>
      <c r="AS1606" s="247"/>
      <c r="AT1606" s="247"/>
      <c r="AU1606" s="247"/>
      <c r="AW1606" s="116"/>
    </row>
    <row r="1607" spans="39:49" ht="13.5" customHeight="1">
      <c r="AM1607" s="247"/>
      <c r="AN1607" s="247"/>
      <c r="AO1607" s="247"/>
      <c r="AP1607" s="247"/>
      <c r="AQ1607" s="247"/>
      <c r="AR1607" s="247"/>
      <c r="AS1607" s="247"/>
      <c r="AT1607" s="247"/>
      <c r="AU1607" s="247"/>
      <c r="AW1607" s="116"/>
    </row>
    <row r="1608" spans="39:49" ht="24" customHeight="1">
      <c r="AM1608" s="247"/>
      <c r="AN1608" s="247"/>
      <c r="AO1608" s="247"/>
      <c r="AP1608" s="247"/>
      <c r="AQ1608" s="247"/>
      <c r="AR1608" s="247"/>
      <c r="AS1608" s="247"/>
      <c r="AT1608" s="247"/>
      <c r="AU1608" s="247"/>
      <c r="AW1608" s="116"/>
    </row>
    <row r="1609" spans="39:49" ht="13.5" customHeight="1">
      <c r="AM1609" s="247"/>
      <c r="AN1609" s="247"/>
      <c r="AO1609" s="247"/>
      <c r="AP1609" s="247"/>
      <c r="AQ1609" s="247"/>
      <c r="AR1609" s="247"/>
      <c r="AS1609" s="247"/>
      <c r="AT1609" s="247"/>
      <c r="AU1609" s="247"/>
      <c r="AW1609" s="116"/>
    </row>
    <row r="1610" spans="39:49" ht="24" customHeight="1">
      <c r="AM1610" s="247"/>
      <c r="AN1610" s="247"/>
      <c r="AO1610" s="247"/>
      <c r="AP1610" s="247"/>
      <c r="AQ1610" s="247"/>
      <c r="AR1610" s="247"/>
      <c r="AS1610" s="247"/>
      <c r="AT1610" s="247"/>
      <c r="AU1610" s="247"/>
      <c r="AW1610" s="116"/>
    </row>
    <row r="1611" spans="39:49" ht="13.5" customHeight="1">
      <c r="AM1611" s="247"/>
      <c r="AN1611" s="247"/>
      <c r="AO1611" s="247"/>
      <c r="AP1611" s="247"/>
      <c r="AQ1611" s="247"/>
      <c r="AR1611" s="247"/>
      <c r="AS1611" s="247"/>
      <c r="AT1611" s="247"/>
      <c r="AU1611" s="247"/>
      <c r="AW1611" s="116"/>
    </row>
    <row r="1612" spans="39:49" ht="24" customHeight="1">
      <c r="AM1612" s="247"/>
      <c r="AN1612" s="247"/>
      <c r="AO1612" s="247"/>
      <c r="AP1612" s="247"/>
      <c r="AQ1612" s="247"/>
      <c r="AR1612" s="247"/>
      <c r="AS1612" s="247"/>
      <c r="AT1612" s="247"/>
      <c r="AU1612" s="247"/>
      <c r="AW1612" s="116"/>
    </row>
    <row r="1613" spans="39:49" ht="13.5" customHeight="1">
      <c r="AM1613" s="247"/>
      <c r="AN1613" s="247"/>
      <c r="AO1613" s="247"/>
      <c r="AP1613" s="247"/>
      <c r="AQ1613" s="247"/>
      <c r="AR1613" s="247"/>
      <c r="AS1613" s="247"/>
      <c r="AT1613" s="247"/>
      <c r="AU1613" s="247"/>
      <c r="AW1613" s="116"/>
    </row>
    <row r="1614" spans="39:49" ht="24" customHeight="1">
      <c r="AM1614" s="247"/>
      <c r="AN1614" s="247"/>
      <c r="AO1614" s="247"/>
      <c r="AP1614" s="247"/>
      <c r="AQ1614" s="247"/>
      <c r="AR1614" s="247"/>
      <c r="AS1614" s="247"/>
      <c r="AT1614" s="247"/>
      <c r="AU1614" s="247"/>
      <c r="AW1614" s="116"/>
    </row>
    <row r="1615" spans="39:49" ht="13.5" customHeight="1">
      <c r="AM1615" s="247"/>
      <c r="AN1615" s="247"/>
      <c r="AO1615" s="247"/>
      <c r="AP1615" s="247"/>
      <c r="AQ1615" s="247"/>
      <c r="AR1615" s="247"/>
      <c r="AS1615" s="247"/>
      <c r="AT1615" s="247"/>
      <c r="AU1615" s="247"/>
      <c r="AW1615" s="116"/>
    </row>
    <row r="1616" spans="39:49" ht="32.25" customHeight="1">
      <c r="AM1616" s="247"/>
      <c r="AN1616" s="247"/>
      <c r="AO1616" s="247"/>
      <c r="AP1616" s="247"/>
      <c r="AQ1616" s="247"/>
      <c r="AR1616" s="247"/>
      <c r="AS1616" s="247"/>
      <c r="AT1616" s="247"/>
      <c r="AU1616" s="247"/>
      <c r="AW1616" s="116"/>
    </row>
    <row r="1617" spans="39:49" ht="19.5" customHeight="1">
      <c r="AM1617" s="247"/>
      <c r="AN1617" s="247"/>
      <c r="AO1617" s="247"/>
      <c r="AP1617" s="247"/>
      <c r="AQ1617" s="247"/>
      <c r="AR1617" s="247"/>
      <c r="AS1617" s="247"/>
      <c r="AT1617" s="247"/>
      <c r="AU1617" s="247"/>
      <c r="AW1617" s="116"/>
    </row>
    <row r="1618" spans="39:49" ht="24" customHeight="1">
      <c r="AM1618" s="247"/>
      <c r="AN1618" s="247"/>
      <c r="AO1618" s="247"/>
      <c r="AP1618" s="247"/>
      <c r="AQ1618" s="247"/>
      <c r="AR1618" s="247"/>
      <c r="AS1618" s="247"/>
      <c r="AT1618" s="247"/>
      <c r="AU1618" s="247"/>
      <c r="AW1618" s="116"/>
    </row>
    <row r="1619" spans="39:49" ht="13.5" customHeight="1">
      <c r="AM1619" s="247"/>
      <c r="AN1619" s="247"/>
      <c r="AO1619" s="247"/>
      <c r="AP1619" s="247"/>
      <c r="AQ1619" s="247"/>
      <c r="AR1619" s="247"/>
      <c r="AS1619" s="247"/>
      <c r="AT1619" s="247"/>
      <c r="AU1619" s="247"/>
      <c r="AW1619" s="116"/>
    </row>
    <row r="1620" spans="39:49" ht="24" customHeight="1">
      <c r="AM1620" s="247"/>
      <c r="AN1620" s="247"/>
      <c r="AO1620" s="247"/>
      <c r="AP1620" s="247"/>
      <c r="AQ1620" s="247"/>
      <c r="AR1620" s="247"/>
      <c r="AS1620" s="247"/>
      <c r="AT1620" s="247"/>
      <c r="AU1620" s="247"/>
      <c r="AW1620" s="116"/>
    </row>
    <row r="1621" spans="39:49" ht="13.5" customHeight="1">
      <c r="AM1621" s="247"/>
      <c r="AN1621" s="247"/>
      <c r="AO1621" s="247"/>
      <c r="AP1621" s="247"/>
      <c r="AQ1621" s="247"/>
      <c r="AR1621" s="247"/>
      <c r="AS1621" s="247"/>
      <c r="AT1621" s="247"/>
      <c r="AU1621" s="247"/>
      <c r="AW1621" s="116"/>
    </row>
    <row r="1622" spans="39:49" ht="24" customHeight="1">
      <c r="AM1622" s="247"/>
      <c r="AN1622" s="247"/>
      <c r="AO1622" s="247"/>
      <c r="AP1622" s="247"/>
      <c r="AQ1622" s="247"/>
      <c r="AR1622" s="247"/>
      <c r="AS1622" s="247"/>
      <c r="AT1622" s="247"/>
      <c r="AU1622" s="247"/>
      <c r="AW1622" s="116"/>
    </row>
    <row r="1623" spans="39:49" ht="13.5" customHeight="1">
      <c r="AM1623" s="247"/>
      <c r="AN1623" s="247"/>
      <c r="AO1623" s="247"/>
      <c r="AP1623" s="247"/>
      <c r="AQ1623" s="247"/>
      <c r="AR1623" s="247"/>
      <c r="AS1623" s="247"/>
      <c r="AT1623" s="247"/>
      <c r="AU1623" s="247"/>
      <c r="AW1623" s="116"/>
    </row>
    <row r="1624" spans="39:49" ht="24" customHeight="1">
      <c r="AM1624" s="247"/>
      <c r="AN1624" s="247"/>
      <c r="AO1624" s="247"/>
      <c r="AP1624" s="247"/>
      <c r="AQ1624" s="247"/>
      <c r="AR1624" s="247"/>
      <c r="AS1624" s="247"/>
      <c r="AT1624" s="247"/>
      <c r="AU1624" s="247"/>
      <c r="AW1624" s="116"/>
    </row>
    <row r="1625" spans="39:49" ht="13.5" customHeight="1">
      <c r="AM1625" s="247"/>
      <c r="AN1625" s="247"/>
      <c r="AO1625" s="247"/>
      <c r="AP1625" s="247"/>
      <c r="AQ1625" s="247"/>
      <c r="AR1625" s="247"/>
      <c r="AS1625" s="247"/>
      <c r="AT1625" s="247"/>
      <c r="AU1625" s="247"/>
      <c r="AW1625" s="116"/>
    </row>
    <row r="1626" spans="39:49" ht="24" customHeight="1">
      <c r="AM1626" s="247"/>
      <c r="AN1626" s="247"/>
      <c r="AO1626" s="247"/>
      <c r="AP1626" s="247"/>
      <c r="AQ1626" s="247"/>
      <c r="AR1626" s="247"/>
      <c r="AS1626" s="247"/>
      <c r="AT1626" s="247"/>
      <c r="AU1626" s="247"/>
      <c r="AW1626" s="116"/>
    </row>
    <row r="1627" spans="39:49" ht="13.5" customHeight="1">
      <c r="AM1627" s="247"/>
      <c r="AN1627" s="247"/>
      <c r="AO1627" s="247"/>
      <c r="AP1627" s="247"/>
      <c r="AQ1627" s="247"/>
      <c r="AR1627" s="247"/>
      <c r="AS1627" s="247"/>
      <c r="AT1627" s="247"/>
      <c r="AU1627" s="247"/>
      <c r="AW1627" s="116"/>
    </row>
    <row r="1628" spans="39:49" ht="24" customHeight="1">
      <c r="AM1628" s="247"/>
      <c r="AN1628" s="247"/>
      <c r="AO1628" s="247"/>
      <c r="AP1628" s="247"/>
      <c r="AQ1628" s="247"/>
      <c r="AR1628" s="247"/>
      <c r="AS1628" s="247"/>
      <c r="AT1628" s="247"/>
      <c r="AU1628" s="247"/>
      <c r="AW1628" s="116"/>
    </row>
    <row r="1629" spans="39:49" ht="13.5" customHeight="1">
      <c r="AM1629" s="247"/>
      <c r="AN1629" s="247"/>
      <c r="AO1629" s="247"/>
      <c r="AP1629" s="247"/>
      <c r="AQ1629" s="247"/>
      <c r="AR1629" s="247"/>
      <c r="AS1629" s="247"/>
      <c r="AT1629" s="247"/>
      <c r="AU1629" s="247"/>
      <c r="AW1629" s="116"/>
    </row>
    <row r="1630" spans="39:49" ht="24" customHeight="1">
      <c r="AM1630" s="247"/>
      <c r="AN1630" s="247"/>
      <c r="AO1630" s="247"/>
      <c r="AP1630" s="247"/>
      <c r="AQ1630" s="247"/>
      <c r="AR1630" s="247"/>
      <c r="AS1630" s="247"/>
      <c r="AT1630" s="247"/>
      <c r="AU1630" s="247"/>
      <c r="AW1630" s="116"/>
    </row>
    <row r="1631" spans="39:49" ht="13.5" customHeight="1">
      <c r="AM1631" s="247"/>
      <c r="AN1631" s="247"/>
      <c r="AO1631" s="247"/>
      <c r="AP1631" s="247"/>
      <c r="AQ1631" s="247"/>
      <c r="AR1631" s="247"/>
      <c r="AS1631" s="247"/>
      <c r="AT1631" s="247"/>
      <c r="AU1631" s="247"/>
      <c r="AW1631" s="116"/>
    </row>
    <row r="1632" spans="39:49" ht="24" customHeight="1">
      <c r="AM1632" s="247"/>
      <c r="AN1632" s="247"/>
      <c r="AO1632" s="247"/>
      <c r="AP1632" s="247"/>
      <c r="AQ1632" s="247"/>
      <c r="AR1632" s="247"/>
      <c r="AS1632" s="247"/>
      <c r="AT1632" s="247"/>
      <c r="AU1632" s="247"/>
      <c r="AW1632" s="116"/>
    </row>
    <row r="1633" spans="39:49" ht="13.5" customHeight="1">
      <c r="AM1633" s="247"/>
      <c r="AN1633" s="247"/>
      <c r="AO1633" s="247"/>
      <c r="AP1633" s="247"/>
      <c r="AQ1633" s="247"/>
      <c r="AR1633" s="247"/>
      <c r="AS1633" s="247"/>
      <c r="AT1633" s="247"/>
      <c r="AU1633" s="247"/>
      <c r="AW1633" s="116"/>
    </row>
    <row r="1634" spans="39:49" ht="24" customHeight="1">
      <c r="AM1634" s="247"/>
      <c r="AN1634" s="247"/>
      <c r="AO1634" s="247"/>
      <c r="AP1634" s="247"/>
      <c r="AQ1634" s="247"/>
      <c r="AR1634" s="247"/>
      <c r="AS1634" s="247"/>
      <c r="AT1634" s="247"/>
      <c r="AU1634" s="247"/>
      <c r="AW1634" s="116"/>
    </row>
    <row r="1635" spans="39:49" ht="13.5" customHeight="1">
      <c r="AM1635" s="247"/>
      <c r="AN1635" s="247"/>
      <c r="AO1635" s="247"/>
      <c r="AP1635" s="247"/>
      <c r="AQ1635" s="247"/>
      <c r="AR1635" s="247"/>
      <c r="AS1635" s="247"/>
      <c r="AT1635" s="247"/>
      <c r="AU1635" s="247"/>
      <c r="AW1635" s="116"/>
    </row>
    <row r="1636" spans="39:49" ht="24" customHeight="1">
      <c r="AM1636" s="247"/>
      <c r="AN1636" s="247"/>
      <c r="AO1636" s="247"/>
      <c r="AP1636" s="247"/>
      <c r="AQ1636" s="247"/>
      <c r="AR1636" s="247"/>
      <c r="AS1636" s="247"/>
      <c r="AT1636" s="247"/>
      <c r="AU1636" s="247"/>
      <c r="AW1636" s="116"/>
    </row>
    <row r="1637" spans="39:49" ht="13.5" customHeight="1">
      <c r="AM1637" s="247"/>
      <c r="AN1637" s="247"/>
      <c r="AO1637" s="247"/>
      <c r="AP1637" s="247"/>
      <c r="AQ1637" s="247"/>
      <c r="AR1637" s="247"/>
      <c r="AS1637" s="247"/>
      <c r="AT1637" s="247"/>
      <c r="AU1637" s="247"/>
      <c r="AW1637" s="116"/>
    </row>
    <row r="1638" spans="39:49" ht="24" customHeight="1">
      <c r="AM1638" s="247"/>
      <c r="AN1638" s="247"/>
      <c r="AO1638" s="247"/>
      <c r="AP1638" s="247"/>
      <c r="AQ1638" s="247"/>
      <c r="AR1638" s="247"/>
      <c r="AS1638" s="247"/>
      <c r="AT1638" s="247"/>
      <c r="AU1638" s="247"/>
      <c r="AW1638" s="116"/>
    </row>
    <row r="1639" spans="39:49" ht="13.5" customHeight="1">
      <c r="AM1639" s="247"/>
      <c r="AN1639" s="247"/>
      <c r="AO1639" s="247"/>
      <c r="AP1639" s="247"/>
      <c r="AQ1639" s="247"/>
      <c r="AR1639" s="247"/>
      <c r="AS1639" s="247"/>
      <c r="AT1639" s="247"/>
      <c r="AU1639" s="247"/>
      <c r="AW1639" s="116"/>
    </row>
    <row r="1640" spans="39:49" ht="24" customHeight="1">
      <c r="AM1640" s="247"/>
      <c r="AN1640" s="247"/>
      <c r="AO1640" s="247"/>
      <c r="AP1640" s="247"/>
      <c r="AQ1640" s="247"/>
      <c r="AR1640" s="247"/>
      <c r="AS1640" s="247"/>
      <c r="AT1640" s="247"/>
      <c r="AU1640" s="247"/>
      <c r="AW1640" s="116"/>
    </row>
    <row r="1641" spans="39:49" ht="13.5" customHeight="1">
      <c r="AM1641" s="247"/>
      <c r="AN1641" s="247"/>
      <c r="AO1641" s="247"/>
      <c r="AP1641" s="247"/>
      <c r="AQ1641" s="247"/>
      <c r="AR1641" s="247"/>
      <c r="AS1641" s="247"/>
      <c r="AT1641" s="247"/>
      <c r="AU1641" s="247"/>
      <c r="AW1641" s="116"/>
    </row>
    <row r="1642" spans="39:49" ht="24" customHeight="1">
      <c r="AM1642" s="247"/>
      <c r="AN1642" s="247"/>
      <c r="AO1642" s="247"/>
      <c r="AP1642" s="247"/>
      <c r="AQ1642" s="247"/>
      <c r="AR1642" s="247"/>
      <c r="AS1642" s="247"/>
      <c r="AT1642" s="247"/>
      <c r="AU1642" s="247"/>
      <c r="AW1642" s="116"/>
    </row>
    <row r="1643" spans="39:49" ht="13.5" customHeight="1">
      <c r="AM1643" s="247"/>
      <c r="AN1643" s="247"/>
      <c r="AO1643" s="247"/>
      <c r="AP1643" s="247"/>
      <c r="AQ1643" s="247"/>
      <c r="AR1643" s="247"/>
      <c r="AS1643" s="247"/>
      <c r="AT1643" s="247"/>
      <c r="AU1643" s="247"/>
      <c r="AW1643" s="116"/>
    </row>
    <row r="1644" spans="39:49" ht="24" customHeight="1">
      <c r="AM1644" s="247"/>
      <c r="AN1644" s="247"/>
      <c r="AO1644" s="247"/>
      <c r="AP1644" s="247"/>
      <c r="AQ1644" s="247"/>
      <c r="AR1644" s="247"/>
      <c r="AS1644" s="247"/>
      <c r="AT1644" s="247"/>
      <c r="AU1644" s="247"/>
      <c r="AW1644" s="116"/>
    </row>
    <row r="1645" spans="39:49" ht="13.5" customHeight="1">
      <c r="AM1645" s="247"/>
      <c r="AN1645" s="247"/>
      <c r="AO1645" s="247"/>
      <c r="AP1645" s="247"/>
      <c r="AQ1645" s="247"/>
      <c r="AR1645" s="247"/>
      <c r="AS1645" s="247"/>
      <c r="AT1645" s="247"/>
      <c r="AU1645" s="247"/>
      <c r="AW1645" s="116"/>
    </row>
    <row r="1646" spans="39:49" ht="24" customHeight="1">
      <c r="AM1646" s="247"/>
      <c r="AN1646" s="247"/>
      <c r="AO1646" s="247"/>
      <c r="AP1646" s="247"/>
      <c r="AQ1646" s="247"/>
      <c r="AR1646" s="247"/>
      <c r="AS1646" s="247"/>
      <c r="AT1646" s="247"/>
      <c r="AU1646" s="247"/>
      <c r="AW1646" s="116"/>
    </row>
    <row r="1647" spans="39:49" ht="13.5" customHeight="1">
      <c r="AM1647" s="247"/>
      <c r="AN1647" s="247"/>
      <c r="AO1647" s="247"/>
      <c r="AP1647" s="247"/>
      <c r="AQ1647" s="247"/>
      <c r="AR1647" s="247"/>
      <c r="AS1647" s="247"/>
      <c r="AT1647" s="247"/>
      <c r="AU1647" s="247"/>
      <c r="AW1647" s="116"/>
    </row>
    <row r="1648" spans="39:49" ht="24" customHeight="1">
      <c r="AM1648" s="247"/>
      <c r="AN1648" s="247"/>
      <c r="AO1648" s="247"/>
      <c r="AP1648" s="247"/>
      <c r="AQ1648" s="247"/>
      <c r="AR1648" s="247"/>
      <c r="AS1648" s="247"/>
      <c r="AT1648" s="247"/>
      <c r="AU1648" s="247"/>
      <c r="AW1648" s="116"/>
    </row>
    <row r="1649" spans="39:49" ht="13.5" customHeight="1">
      <c r="AM1649" s="247"/>
      <c r="AN1649" s="247"/>
      <c r="AO1649" s="247"/>
      <c r="AP1649" s="247"/>
      <c r="AQ1649" s="247"/>
      <c r="AR1649" s="247"/>
      <c r="AS1649" s="247"/>
      <c r="AT1649" s="247"/>
      <c r="AU1649" s="247"/>
      <c r="AW1649" s="116"/>
    </row>
    <row r="1650" spans="39:49" ht="24" customHeight="1">
      <c r="AM1650" s="247"/>
      <c r="AN1650" s="247"/>
      <c r="AO1650" s="247"/>
      <c r="AP1650" s="247"/>
      <c r="AQ1650" s="247"/>
      <c r="AR1650" s="247"/>
      <c r="AS1650" s="247"/>
      <c r="AT1650" s="247"/>
      <c r="AU1650" s="247"/>
      <c r="AW1650" s="116"/>
    </row>
    <row r="1651" spans="39:49" ht="13.5" customHeight="1">
      <c r="AM1651" s="247"/>
      <c r="AN1651" s="247"/>
      <c r="AO1651" s="247"/>
      <c r="AP1651" s="247"/>
      <c r="AQ1651" s="247"/>
      <c r="AR1651" s="247"/>
      <c r="AS1651" s="247"/>
      <c r="AT1651" s="247"/>
      <c r="AU1651" s="247"/>
      <c r="AW1651" s="116"/>
    </row>
    <row r="1652" spans="39:49" ht="24" customHeight="1">
      <c r="AM1652" s="247"/>
      <c r="AN1652" s="247"/>
      <c r="AO1652" s="247"/>
      <c r="AP1652" s="247"/>
      <c r="AQ1652" s="247"/>
      <c r="AR1652" s="247"/>
      <c r="AS1652" s="247"/>
      <c r="AT1652" s="247"/>
      <c r="AU1652" s="247"/>
      <c r="AW1652" s="116"/>
    </row>
    <row r="1653" spans="39:49" ht="13.5" customHeight="1">
      <c r="AM1653" s="247"/>
      <c r="AN1653" s="247"/>
      <c r="AO1653" s="247"/>
      <c r="AP1653" s="247"/>
      <c r="AQ1653" s="247"/>
      <c r="AR1653" s="247"/>
      <c r="AS1653" s="247"/>
      <c r="AT1653" s="247"/>
      <c r="AU1653" s="247"/>
      <c r="AW1653" s="116"/>
    </row>
    <row r="1654" spans="39:49" ht="24" customHeight="1">
      <c r="AM1654" s="247"/>
      <c r="AN1654" s="247"/>
      <c r="AO1654" s="247"/>
      <c r="AP1654" s="247"/>
      <c r="AQ1654" s="247"/>
      <c r="AR1654" s="247"/>
      <c r="AS1654" s="247"/>
      <c r="AT1654" s="247"/>
      <c r="AU1654" s="247"/>
      <c r="AW1654" s="116"/>
    </row>
    <row r="1655" spans="39:49" ht="13.5" customHeight="1">
      <c r="AM1655" s="247"/>
      <c r="AN1655" s="247"/>
      <c r="AO1655" s="247"/>
      <c r="AP1655" s="247"/>
      <c r="AQ1655" s="247"/>
      <c r="AR1655" s="247"/>
      <c r="AS1655" s="247"/>
      <c r="AT1655" s="247"/>
      <c r="AU1655" s="247"/>
      <c r="AW1655" s="116"/>
    </row>
    <row r="1656" spans="39:49" ht="24" customHeight="1">
      <c r="AM1656" s="247"/>
      <c r="AN1656" s="247"/>
      <c r="AO1656" s="247"/>
      <c r="AP1656" s="247"/>
      <c r="AQ1656" s="247"/>
      <c r="AR1656" s="247"/>
      <c r="AS1656" s="247"/>
      <c r="AT1656" s="247"/>
      <c r="AU1656" s="247"/>
      <c r="AW1656" s="116"/>
    </row>
    <row r="1657" spans="39:49" ht="13.5" customHeight="1">
      <c r="AM1657" s="247"/>
      <c r="AN1657" s="247"/>
      <c r="AO1657" s="247"/>
      <c r="AP1657" s="247"/>
      <c r="AQ1657" s="247"/>
      <c r="AR1657" s="247"/>
      <c r="AS1657" s="247"/>
      <c r="AT1657" s="247"/>
      <c r="AU1657" s="247"/>
      <c r="AW1657" s="116"/>
    </row>
    <row r="1658" spans="39:49" ht="24" customHeight="1">
      <c r="AM1658" s="247"/>
      <c r="AN1658" s="247"/>
      <c r="AO1658" s="247"/>
      <c r="AP1658" s="247"/>
      <c r="AQ1658" s="247"/>
      <c r="AR1658" s="247"/>
      <c r="AS1658" s="247"/>
      <c r="AT1658" s="247"/>
      <c r="AU1658" s="247"/>
      <c r="AW1658" s="116"/>
    </row>
    <row r="1659" spans="39:49" ht="13.5" customHeight="1">
      <c r="AM1659" s="247"/>
      <c r="AN1659" s="247"/>
      <c r="AO1659" s="247"/>
      <c r="AP1659" s="247"/>
      <c r="AQ1659" s="247"/>
      <c r="AR1659" s="247"/>
      <c r="AS1659" s="247"/>
      <c r="AT1659" s="247"/>
      <c r="AU1659" s="247"/>
      <c r="AW1659" s="116"/>
    </row>
    <row r="1660" spans="39:49" ht="24" customHeight="1">
      <c r="AM1660" s="247"/>
      <c r="AN1660" s="247"/>
      <c r="AO1660" s="247"/>
      <c r="AP1660" s="247"/>
      <c r="AQ1660" s="247"/>
      <c r="AR1660" s="247"/>
      <c r="AS1660" s="247"/>
      <c r="AT1660" s="247"/>
      <c r="AU1660" s="247"/>
      <c r="AW1660" s="116"/>
    </row>
    <row r="1661" spans="39:49" ht="13.5" customHeight="1">
      <c r="AM1661" s="247"/>
      <c r="AN1661" s="247"/>
      <c r="AO1661" s="247"/>
      <c r="AP1661" s="247"/>
      <c r="AQ1661" s="247"/>
      <c r="AR1661" s="247"/>
      <c r="AS1661" s="247"/>
      <c r="AT1661" s="247"/>
      <c r="AU1661" s="247"/>
      <c r="AW1661" s="116"/>
    </row>
    <row r="1662" spans="39:49" ht="24" customHeight="1">
      <c r="AM1662" s="247"/>
      <c r="AN1662" s="247"/>
      <c r="AO1662" s="247"/>
      <c r="AP1662" s="247"/>
      <c r="AQ1662" s="247"/>
      <c r="AR1662" s="247"/>
      <c r="AS1662" s="247"/>
      <c r="AT1662" s="247"/>
      <c r="AU1662" s="247"/>
      <c r="AW1662" s="116"/>
    </row>
    <row r="1663" spans="39:49" ht="13.5" customHeight="1">
      <c r="AM1663" s="247"/>
      <c r="AN1663" s="247"/>
      <c r="AO1663" s="247"/>
      <c r="AP1663" s="247"/>
      <c r="AQ1663" s="247"/>
      <c r="AR1663" s="247"/>
      <c r="AS1663" s="247"/>
      <c r="AT1663" s="247"/>
      <c r="AU1663" s="247"/>
      <c r="AW1663" s="116"/>
    </row>
    <row r="1664" spans="39:49" ht="24" customHeight="1">
      <c r="AM1664" s="247"/>
      <c r="AN1664" s="247"/>
      <c r="AO1664" s="247"/>
      <c r="AP1664" s="247"/>
      <c r="AQ1664" s="247"/>
      <c r="AR1664" s="247"/>
      <c r="AS1664" s="247"/>
      <c r="AT1664" s="247"/>
      <c r="AU1664" s="247"/>
      <c r="AW1664" s="116"/>
    </row>
    <row r="1665" spans="39:49" ht="13.5" customHeight="1">
      <c r="AM1665" s="247"/>
      <c r="AN1665" s="247"/>
      <c r="AO1665" s="247"/>
      <c r="AP1665" s="247"/>
      <c r="AQ1665" s="247"/>
      <c r="AR1665" s="247"/>
      <c r="AS1665" s="247"/>
      <c r="AT1665" s="247"/>
      <c r="AU1665" s="247"/>
      <c r="AW1665" s="116"/>
    </row>
    <row r="1666" spans="39:49" ht="24" customHeight="1">
      <c r="AM1666" s="247"/>
      <c r="AN1666" s="247"/>
      <c r="AO1666" s="247"/>
      <c r="AP1666" s="247"/>
      <c r="AQ1666" s="247"/>
      <c r="AR1666" s="247"/>
      <c r="AS1666" s="247"/>
      <c r="AT1666" s="247"/>
      <c r="AU1666" s="247"/>
      <c r="AW1666" s="116"/>
    </row>
    <row r="1667" spans="39:49" ht="13.5" customHeight="1">
      <c r="AM1667" s="247"/>
      <c r="AN1667" s="247"/>
      <c r="AO1667" s="247"/>
      <c r="AP1667" s="247"/>
      <c r="AQ1667" s="247"/>
      <c r="AR1667" s="247"/>
      <c r="AS1667" s="247"/>
      <c r="AT1667" s="247"/>
      <c r="AU1667" s="247"/>
      <c r="AW1667" s="116"/>
    </row>
    <row r="1668" spans="39:49" ht="24" customHeight="1">
      <c r="AM1668" s="247"/>
      <c r="AN1668" s="247"/>
      <c r="AO1668" s="247"/>
      <c r="AP1668" s="247"/>
      <c r="AQ1668" s="247"/>
      <c r="AR1668" s="247"/>
      <c r="AS1668" s="247"/>
      <c r="AT1668" s="247"/>
      <c r="AU1668" s="247"/>
      <c r="AW1668" s="116"/>
    </row>
    <row r="1669" spans="39:49" ht="13.5" customHeight="1">
      <c r="AM1669" s="247"/>
      <c r="AN1669" s="247"/>
      <c r="AO1669" s="247"/>
      <c r="AP1669" s="247"/>
      <c r="AQ1669" s="247"/>
      <c r="AR1669" s="247"/>
      <c r="AS1669" s="247"/>
      <c r="AT1669" s="247"/>
      <c r="AU1669" s="247"/>
      <c r="AW1669" s="116"/>
    </row>
    <row r="1670" spans="39:49" ht="24" customHeight="1">
      <c r="AM1670" s="247"/>
      <c r="AN1670" s="247"/>
      <c r="AO1670" s="247"/>
      <c r="AP1670" s="247"/>
      <c r="AQ1670" s="247"/>
      <c r="AR1670" s="247"/>
      <c r="AS1670" s="247"/>
      <c r="AT1670" s="247"/>
      <c r="AU1670" s="247"/>
      <c r="AW1670" s="116"/>
    </row>
    <row r="1671" spans="39:49" ht="13.5" customHeight="1">
      <c r="AM1671" s="247"/>
      <c r="AN1671" s="247"/>
      <c r="AO1671" s="247"/>
      <c r="AP1671" s="247"/>
      <c r="AQ1671" s="247"/>
      <c r="AR1671" s="247"/>
      <c r="AS1671" s="247"/>
      <c r="AT1671" s="247"/>
      <c r="AU1671" s="247"/>
      <c r="AW1671" s="116"/>
    </row>
    <row r="1672" spans="39:49" ht="24" customHeight="1">
      <c r="AM1672" s="247"/>
      <c r="AN1672" s="247"/>
      <c r="AO1672" s="247"/>
      <c r="AP1672" s="247"/>
      <c r="AQ1672" s="247"/>
      <c r="AR1672" s="247"/>
      <c r="AS1672" s="247"/>
      <c r="AT1672" s="247"/>
      <c r="AU1672" s="247"/>
      <c r="AW1672" s="116"/>
    </row>
    <row r="1673" spans="39:49" ht="13.5" customHeight="1">
      <c r="AM1673" s="247"/>
      <c r="AN1673" s="247"/>
      <c r="AO1673" s="247"/>
      <c r="AP1673" s="247"/>
      <c r="AQ1673" s="247"/>
      <c r="AR1673" s="247"/>
      <c r="AS1673" s="247"/>
      <c r="AT1673" s="247"/>
      <c r="AU1673" s="247"/>
      <c r="AW1673" s="116"/>
    </row>
    <row r="1674" spans="39:49" ht="24" customHeight="1">
      <c r="AM1674" s="247"/>
      <c r="AN1674" s="247"/>
      <c r="AO1674" s="247"/>
      <c r="AP1674" s="247"/>
      <c r="AQ1674" s="247"/>
      <c r="AR1674" s="247"/>
      <c r="AS1674" s="247"/>
      <c r="AT1674" s="247"/>
      <c r="AU1674" s="247"/>
      <c r="AW1674" s="116"/>
    </row>
    <row r="1675" spans="39:49" ht="13.5" customHeight="1">
      <c r="AM1675" s="247"/>
      <c r="AN1675" s="247"/>
      <c r="AO1675" s="247"/>
      <c r="AP1675" s="247"/>
      <c r="AQ1675" s="247"/>
      <c r="AR1675" s="247"/>
      <c r="AS1675" s="247"/>
      <c r="AT1675" s="247"/>
      <c r="AU1675" s="247"/>
      <c r="AW1675" s="116"/>
    </row>
    <row r="1676" spans="39:49" ht="24" customHeight="1">
      <c r="AM1676" s="247"/>
      <c r="AN1676" s="247"/>
      <c r="AO1676" s="247"/>
      <c r="AP1676" s="247"/>
      <c r="AQ1676" s="247"/>
      <c r="AR1676" s="247"/>
      <c r="AS1676" s="247"/>
      <c r="AT1676" s="247"/>
      <c r="AU1676" s="247"/>
      <c r="AW1676" s="116"/>
    </row>
    <row r="1677" spans="39:49" ht="13.5" customHeight="1">
      <c r="AM1677" s="247"/>
      <c r="AN1677" s="247"/>
      <c r="AO1677" s="247"/>
      <c r="AP1677" s="247"/>
      <c r="AQ1677" s="247"/>
      <c r="AR1677" s="247"/>
      <c r="AS1677" s="247"/>
      <c r="AT1677" s="247"/>
      <c r="AU1677" s="247"/>
      <c r="AW1677" s="116"/>
    </row>
    <row r="1678" spans="39:49" ht="24" customHeight="1">
      <c r="AM1678" s="247"/>
      <c r="AN1678" s="247"/>
      <c r="AO1678" s="247"/>
      <c r="AP1678" s="247"/>
      <c r="AQ1678" s="247"/>
      <c r="AR1678" s="247"/>
      <c r="AS1678" s="247"/>
      <c r="AT1678" s="247"/>
      <c r="AU1678" s="247"/>
      <c r="AW1678" s="116"/>
    </row>
    <row r="1679" spans="39:49" ht="13.5" customHeight="1">
      <c r="AM1679" s="247"/>
      <c r="AN1679" s="247"/>
      <c r="AO1679" s="247"/>
      <c r="AP1679" s="247"/>
      <c r="AQ1679" s="247"/>
      <c r="AR1679" s="247"/>
      <c r="AS1679" s="247"/>
      <c r="AT1679" s="247"/>
      <c r="AU1679" s="247"/>
      <c r="AW1679" s="116"/>
    </row>
    <row r="1680" spans="39:49" ht="24" customHeight="1">
      <c r="AM1680" s="247"/>
      <c r="AN1680" s="247"/>
      <c r="AO1680" s="247"/>
      <c r="AP1680" s="247"/>
      <c r="AQ1680" s="247"/>
      <c r="AR1680" s="247"/>
      <c r="AS1680" s="247"/>
      <c r="AT1680" s="247"/>
      <c r="AU1680" s="247"/>
      <c r="AW1680" s="116"/>
    </row>
    <row r="1681" spans="39:49" ht="13.5" customHeight="1">
      <c r="AM1681" s="247"/>
      <c r="AN1681" s="247"/>
      <c r="AO1681" s="247"/>
      <c r="AP1681" s="247"/>
      <c r="AQ1681" s="247"/>
      <c r="AR1681" s="247"/>
      <c r="AS1681" s="247"/>
      <c r="AT1681" s="247"/>
      <c r="AU1681" s="247"/>
      <c r="AW1681" s="116"/>
    </row>
    <row r="1682" spans="39:49" ht="24" customHeight="1">
      <c r="AM1682" s="247"/>
      <c r="AN1682" s="247"/>
      <c r="AO1682" s="247"/>
      <c r="AP1682" s="247"/>
      <c r="AQ1682" s="247"/>
      <c r="AR1682" s="247"/>
      <c r="AS1682" s="247"/>
      <c r="AT1682" s="247"/>
      <c r="AU1682" s="247"/>
      <c r="AW1682" s="116"/>
    </row>
    <row r="1683" spans="39:49" ht="13.5" customHeight="1">
      <c r="AM1683" s="247"/>
      <c r="AN1683" s="247"/>
      <c r="AO1683" s="247"/>
      <c r="AP1683" s="247"/>
      <c r="AQ1683" s="247"/>
      <c r="AR1683" s="247"/>
      <c r="AS1683" s="247"/>
      <c r="AT1683" s="247"/>
      <c r="AU1683" s="247"/>
      <c r="AW1683" s="116"/>
    </row>
    <row r="1684" spans="39:49" ht="24" customHeight="1">
      <c r="AM1684" s="247"/>
      <c r="AN1684" s="247"/>
      <c r="AO1684" s="247"/>
      <c r="AP1684" s="247"/>
      <c r="AQ1684" s="247"/>
      <c r="AR1684" s="247"/>
      <c r="AS1684" s="247"/>
      <c r="AT1684" s="247"/>
      <c r="AU1684" s="247"/>
      <c r="AW1684" s="116"/>
    </row>
    <row r="1685" spans="39:49" ht="13.5" customHeight="1">
      <c r="AM1685" s="247"/>
      <c r="AN1685" s="247"/>
      <c r="AO1685" s="247"/>
      <c r="AP1685" s="247"/>
      <c r="AQ1685" s="247"/>
      <c r="AR1685" s="247"/>
      <c r="AS1685" s="247"/>
      <c r="AT1685" s="247"/>
      <c r="AU1685" s="247"/>
      <c r="AW1685" s="116"/>
    </row>
    <row r="1686" spans="39:49" ht="24" customHeight="1">
      <c r="AM1686" s="247"/>
      <c r="AN1686" s="247"/>
      <c r="AO1686" s="247"/>
      <c r="AP1686" s="247"/>
      <c r="AQ1686" s="247"/>
      <c r="AR1686" s="247"/>
      <c r="AS1686" s="247"/>
      <c r="AT1686" s="247"/>
      <c r="AU1686" s="247"/>
      <c r="AW1686" s="116"/>
    </row>
    <row r="1687" spans="39:49" ht="13.5" customHeight="1">
      <c r="AM1687" s="247"/>
      <c r="AN1687" s="247"/>
      <c r="AO1687" s="247"/>
      <c r="AP1687" s="247"/>
      <c r="AQ1687" s="247"/>
      <c r="AR1687" s="247"/>
      <c r="AS1687" s="247"/>
      <c r="AT1687" s="247"/>
      <c r="AU1687" s="247"/>
      <c r="AW1687" s="116"/>
    </row>
    <row r="1688" spans="39:49" ht="24" customHeight="1">
      <c r="AM1688" s="247"/>
      <c r="AN1688" s="247"/>
      <c r="AO1688" s="247"/>
      <c r="AP1688" s="247"/>
      <c r="AQ1688" s="247"/>
      <c r="AR1688" s="247"/>
      <c r="AS1688" s="247"/>
      <c r="AT1688" s="247"/>
      <c r="AU1688" s="247"/>
      <c r="AW1688" s="116"/>
    </row>
    <row r="1689" spans="39:49" ht="13.5" customHeight="1">
      <c r="AM1689" s="247"/>
      <c r="AN1689" s="247"/>
      <c r="AO1689" s="247"/>
      <c r="AP1689" s="247"/>
      <c r="AQ1689" s="247"/>
      <c r="AR1689" s="247"/>
      <c r="AS1689" s="247"/>
      <c r="AT1689" s="247"/>
      <c r="AU1689" s="247"/>
      <c r="AW1689" s="116"/>
    </row>
    <row r="1690" spans="39:49" ht="33" customHeight="1">
      <c r="AM1690" s="247"/>
      <c r="AN1690" s="247"/>
      <c r="AO1690" s="247"/>
      <c r="AP1690" s="247"/>
      <c r="AQ1690" s="247"/>
      <c r="AR1690" s="247"/>
      <c r="AS1690" s="247"/>
      <c r="AT1690" s="247"/>
      <c r="AU1690" s="247"/>
      <c r="AW1690" s="116"/>
    </row>
    <row r="1691" spans="39:49" ht="13.5" customHeight="1">
      <c r="AM1691" s="247"/>
      <c r="AN1691" s="247"/>
      <c r="AO1691" s="247"/>
      <c r="AP1691" s="247"/>
      <c r="AQ1691" s="247"/>
      <c r="AR1691" s="247"/>
      <c r="AS1691" s="247"/>
      <c r="AT1691" s="247"/>
      <c r="AU1691" s="247"/>
      <c r="AW1691" s="116"/>
    </row>
    <row r="1692" spans="39:49" ht="24" customHeight="1">
      <c r="AM1692" s="247"/>
      <c r="AN1692" s="247"/>
      <c r="AO1692" s="247"/>
      <c r="AP1692" s="247"/>
      <c r="AQ1692" s="247"/>
      <c r="AR1692" s="247"/>
      <c r="AS1692" s="247"/>
      <c r="AT1692" s="247"/>
      <c r="AU1692" s="247"/>
      <c r="AW1692" s="116"/>
    </row>
    <row r="1693" spans="39:49" ht="13.5" customHeight="1">
      <c r="AM1693" s="247"/>
      <c r="AN1693" s="247"/>
      <c r="AO1693" s="247"/>
      <c r="AP1693" s="247"/>
      <c r="AQ1693" s="247"/>
      <c r="AR1693" s="247"/>
      <c r="AS1693" s="247"/>
      <c r="AT1693" s="247"/>
      <c r="AU1693" s="247"/>
      <c r="AW1693" s="116"/>
    </row>
    <row r="1694" spans="39:49" ht="24" customHeight="1">
      <c r="AM1694" s="247"/>
      <c r="AN1694" s="247"/>
      <c r="AO1694" s="247"/>
      <c r="AP1694" s="247"/>
      <c r="AQ1694" s="247"/>
      <c r="AR1694" s="247"/>
      <c r="AS1694" s="247"/>
      <c r="AT1694" s="247"/>
      <c r="AU1694" s="247"/>
      <c r="AW1694" s="116"/>
    </row>
    <row r="1695" spans="39:49" ht="13.5" customHeight="1">
      <c r="AM1695" s="247"/>
      <c r="AN1695" s="247"/>
      <c r="AO1695" s="247"/>
      <c r="AP1695" s="247"/>
      <c r="AQ1695" s="247"/>
      <c r="AR1695" s="247"/>
      <c r="AS1695" s="247"/>
      <c r="AT1695" s="247"/>
      <c r="AU1695" s="247"/>
      <c r="AW1695" s="116"/>
    </row>
    <row r="1696" spans="39:49" ht="24" customHeight="1">
      <c r="AM1696" s="247"/>
      <c r="AN1696" s="247"/>
      <c r="AO1696" s="247"/>
      <c r="AP1696" s="247"/>
      <c r="AQ1696" s="247"/>
      <c r="AR1696" s="247"/>
      <c r="AS1696" s="247"/>
      <c r="AT1696" s="247"/>
      <c r="AU1696" s="247"/>
      <c r="AW1696" s="116"/>
    </row>
    <row r="1697" spans="39:49" ht="13.5" customHeight="1">
      <c r="AM1697" s="247"/>
      <c r="AN1697" s="247"/>
      <c r="AO1697" s="247"/>
      <c r="AP1697" s="247"/>
      <c r="AQ1697" s="247"/>
      <c r="AR1697" s="247"/>
      <c r="AS1697" s="247"/>
      <c r="AT1697" s="247"/>
      <c r="AU1697" s="247"/>
      <c r="AW1697" s="116"/>
    </row>
    <row r="1698" spans="39:49" ht="24" customHeight="1">
      <c r="AM1698" s="247"/>
      <c r="AN1698" s="247"/>
      <c r="AO1698" s="247"/>
      <c r="AP1698" s="247"/>
      <c r="AQ1698" s="247"/>
      <c r="AR1698" s="247"/>
      <c r="AS1698" s="247"/>
      <c r="AT1698" s="247"/>
      <c r="AU1698" s="247"/>
      <c r="AW1698" s="116"/>
    </row>
    <row r="1699" spans="39:49" ht="13.5" customHeight="1">
      <c r="AM1699" s="247"/>
      <c r="AN1699" s="247"/>
      <c r="AO1699" s="247"/>
      <c r="AP1699" s="247"/>
      <c r="AQ1699" s="247"/>
      <c r="AR1699" s="247"/>
      <c r="AS1699" s="247"/>
      <c r="AT1699" s="247"/>
      <c r="AU1699" s="247"/>
      <c r="AW1699" s="116"/>
    </row>
    <row r="1700" spans="39:49" ht="24" customHeight="1">
      <c r="AM1700" s="247"/>
      <c r="AN1700" s="247"/>
      <c r="AO1700" s="247"/>
      <c r="AP1700" s="247"/>
      <c r="AQ1700" s="247"/>
      <c r="AR1700" s="247"/>
      <c r="AS1700" s="247"/>
      <c r="AT1700" s="247"/>
      <c r="AU1700" s="247"/>
      <c r="AW1700" s="116"/>
    </row>
    <row r="1701" spans="39:49" ht="13.5" customHeight="1">
      <c r="AM1701" s="247"/>
      <c r="AN1701" s="247"/>
      <c r="AO1701" s="247"/>
      <c r="AP1701" s="247"/>
      <c r="AQ1701" s="247"/>
      <c r="AR1701" s="247"/>
      <c r="AS1701" s="247"/>
      <c r="AT1701" s="247"/>
      <c r="AU1701" s="247"/>
      <c r="AW1701" s="116"/>
    </row>
    <row r="1702" spans="39:49" ht="24" customHeight="1">
      <c r="AM1702" s="247"/>
      <c r="AN1702" s="247"/>
      <c r="AO1702" s="247"/>
      <c r="AP1702" s="247"/>
      <c r="AQ1702" s="247"/>
      <c r="AR1702" s="247"/>
      <c r="AS1702" s="247"/>
      <c r="AT1702" s="247"/>
      <c r="AU1702" s="247"/>
      <c r="AW1702" s="116"/>
    </row>
    <row r="1703" spans="39:49" ht="13.5" customHeight="1">
      <c r="AM1703" s="247"/>
      <c r="AN1703" s="247"/>
      <c r="AO1703" s="247"/>
      <c r="AP1703" s="247"/>
      <c r="AQ1703" s="247"/>
      <c r="AR1703" s="247"/>
      <c r="AS1703" s="247"/>
      <c r="AT1703" s="247"/>
      <c r="AU1703" s="247"/>
      <c r="AW1703" s="116"/>
    </row>
    <row r="1704" spans="39:49" ht="24" customHeight="1">
      <c r="AM1704" s="247"/>
      <c r="AN1704" s="247"/>
      <c r="AO1704" s="247"/>
      <c r="AP1704" s="247"/>
      <c r="AQ1704" s="247"/>
      <c r="AR1704" s="247"/>
      <c r="AS1704" s="247"/>
      <c r="AT1704" s="247"/>
      <c r="AU1704" s="247"/>
      <c r="AW1704" s="116"/>
    </row>
    <row r="1705" spans="39:49" ht="13.5" customHeight="1">
      <c r="AM1705" s="247"/>
      <c r="AN1705" s="247"/>
      <c r="AO1705" s="247"/>
      <c r="AP1705" s="247"/>
      <c r="AQ1705" s="247"/>
      <c r="AR1705" s="247"/>
      <c r="AS1705" s="247"/>
      <c r="AT1705" s="247"/>
      <c r="AU1705" s="247"/>
      <c r="AW1705" s="116"/>
    </row>
    <row r="1706" spans="39:49" ht="24" customHeight="1">
      <c r="AM1706" s="247"/>
      <c r="AN1706" s="247"/>
      <c r="AO1706" s="247"/>
      <c r="AP1706" s="247"/>
      <c r="AQ1706" s="247"/>
      <c r="AR1706" s="247"/>
      <c r="AS1706" s="247"/>
      <c r="AT1706" s="247"/>
      <c r="AU1706" s="247"/>
      <c r="AW1706" s="116"/>
    </row>
    <row r="1707" spans="39:49" ht="13.5" customHeight="1">
      <c r="AM1707" s="247"/>
      <c r="AN1707" s="247"/>
      <c r="AO1707" s="247"/>
      <c r="AP1707" s="247"/>
      <c r="AQ1707" s="247"/>
      <c r="AR1707" s="247"/>
      <c r="AS1707" s="247"/>
      <c r="AT1707" s="247"/>
      <c r="AU1707" s="247"/>
      <c r="AW1707" s="116"/>
    </row>
    <row r="1708" spans="39:49" ht="24" customHeight="1">
      <c r="AM1708" s="247"/>
      <c r="AN1708" s="247"/>
      <c r="AO1708" s="247"/>
      <c r="AP1708" s="247"/>
      <c r="AQ1708" s="247"/>
      <c r="AR1708" s="247"/>
      <c r="AS1708" s="247"/>
      <c r="AT1708" s="247"/>
      <c r="AU1708" s="247"/>
      <c r="AW1708" s="116"/>
    </row>
    <row r="1709" spans="39:49" ht="13.5" customHeight="1">
      <c r="AM1709" s="247"/>
      <c r="AN1709" s="247"/>
      <c r="AO1709" s="247"/>
      <c r="AP1709" s="247"/>
      <c r="AQ1709" s="247"/>
      <c r="AR1709" s="247"/>
      <c r="AS1709" s="247"/>
      <c r="AT1709" s="247"/>
      <c r="AU1709" s="247"/>
      <c r="AW1709" s="116"/>
    </row>
    <row r="1710" spans="39:49" ht="24" customHeight="1">
      <c r="AM1710" s="247"/>
      <c r="AN1710" s="247"/>
      <c r="AO1710" s="247"/>
      <c r="AP1710" s="247"/>
      <c r="AQ1710" s="247"/>
      <c r="AR1710" s="247"/>
      <c r="AS1710" s="247"/>
      <c r="AT1710" s="247"/>
      <c r="AU1710" s="247"/>
      <c r="AW1710" s="116"/>
    </row>
    <row r="1711" spans="39:49" ht="13.5" customHeight="1">
      <c r="AM1711" s="247"/>
      <c r="AN1711" s="247"/>
      <c r="AO1711" s="247"/>
      <c r="AP1711" s="247"/>
      <c r="AQ1711" s="247"/>
      <c r="AR1711" s="247"/>
      <c r="AS1711" s="247"/>
      <c r="AT1711" s="247"/>
      <c r="AU1711" s="247"/>
      <c r="AW1711" s="116"/>
    </row>
    <row r="1712" spans="39:49" ht="34.5" customHeight="1">
      <c r="AM1712" s="247"/>
      <c r="AN1712" s="247"/>
      <c r="AO1712" s="247"/>
      <c r="AP1712" s="247"/>
      <c r="AQ1712" s="247"/>
      <c r="AR1712" s="247"/>
      <c r="AS1712" s="247"/>
      <c r="AT1712" s="247"/>
      <c r="AU1712" s="247"/>
      <c r="AW1712" s="116"/>
    </row>
    <row r="1713" spans="39:49" ht="20.25" customHeight="1">
      <c r="AM1713" s="247"/>
      <c r="AN1713" s="247"/>
      <c r="AO1713" s="247"/>
      <c r="AP1713" s="247"/>
      <c r="AQ1713" s="247"/>
      <c r="AR1713" s="247"/>
      <c r="AS1713" s="247"/>
      <c r="AT1713" s="247"/>
      <c r="AU1713" s="247"/>
      <c r="AW1713" s="116"/>
    </row>
    <row r="1714" spans="39:49" ht="24" customHeight="1">
      <c r="AM1714" s="247"/>
      <c r="AN1714" s="247"/>
      <c r="AO1714" s="247"/>
      <c r="AP1714" s="247"/>
      <c r="AQ1714" s="247"/>
      <c r="AR1714" s="247"/>
      <c r="AS1714" s="247"/>
      <c r="AT1714" s="247"/>
      <c r="AU1714" s="247"/>
      <c r="AW1714" s="116"/>
    </row>
    <row r="1715" spans="39:49" ht="13.5" customHeight="1">
      <c r="AM1715" s="247"/>
      <c r="AN1715" s="247"/>
      <c r="AO1715" s="247"/>
      <c r="AP1715" s="247"/>
      <c r="AQ1715" s="247"/>
      <c r="AR1715" s="247"/>
      <c r="AS1715" s="247"/>
      <c r="AT1715" s="247"/>
      <c r="AU1715" s="247"/>
      <c r="AW1715" s="116"/>
    </row>
    <row r="1716" spans="39:49" ht="24" customHeight="1">
      <c r="AM1716" s="247"/>
      <c r="AN1716" s="247"/>
      <c r="AO1716" s="247"/>
      <c r="AP1716" s="247"/>
      <c r="AQ1716" s="247"/>
      <c r="AR1716" s="247"/>
      <c r="AS1716" s="247"/>
      <c r="AT1716" s="247"/>
      <c r="AU1716" s="247"/>
      <c r="AW1716" s="116"/>
    </row>
    <row r="1717" spans="39:49" ht="13.5" customHeight="1">
      <c r="AM1717" s="247"/>
      <c r="AN1717" s="247"/>
      <c r="AO1717" s="247"/>
      <c r="AP1717" s="247"/>
      <c r="AQ1717" s="247"/>
      <c r="AR1717" s="247"/>
      <c r="AS1717" s="247"/>
      <c r="AT1717" s="247"/>
      <c r="AU1717" s="247"/>
      <c r="AW1717" s="116"/>
    </row>
    <row r="1718" spans="39:49" ht="24" customHeight="1">
      <c r="AM1718" s="247"/>
      <c r="AN1718" s="247"/>
      <c r="AO1718" s="247"/>
      <c r="AP1718" s="247"/>
      <c r="AQ1718" s="247"/>
      <c r="AR1718" s="247"/>
      <c r="AS1718" s="247"/>
      <c r="AT1718" s="247"/>
      <c r="AU1718" s="247"/>
      <c r="AW1718" s="116"/>
    </row>
    <row r="1719" spans="39:49" ht="13.5" customHeight="1">
      <c r="AM1719" s="247"/>
      <c r="AN1719" s="247"/>
      <c r="AO1719" s="247"/>
      <c r="AP1719" s="247"/>
      <c r="AQ1719" s="247"/>
      <c r="AR1719" s="247"/>
      <c r="AS1719" s="247"/>
      <c r="AT1719" s="247"/>
      <c r="AU1719" s="247"/>
      <c r="AW1719" s="116"/>
    </row>
    <row r="1720" spans="39:49" ht="24" customHeight="1">
      <c r="AM1720" s="247"/>
      <c r="AN1720" s="247"/>
      <c r="AO1720" s="247"/>
      <c r="AP1720" s="247"/>
      <c r="AQ1720" s="247"/>
      <c r="AR1720" s="247"/>
      <c r="AS1720" s="247"/>
      <c r="AT1720" s="247"/>
      <c r="AU1720" s="247"/>
      <c r="AW1720" s="116"/>
    </row>
    <row r="1721" spans="39:49" ht="13.5" customHeight="1">
      <c r="AM1721" s="247"/>
      <c r="AN1721" s="247"/>
      <c r="AO1721" s="247"/>
      <c r="AP1721" s="247"/>
      <c r="AQ1721" s="247"/>
      <c r="AR1721" s="247"/>
      <c r="AS1721" s="247"/>
      <c r="AT1721" s="247"/>
      <c r="AU1721" s="247"/>
      <c r="AW1721" s="116"/>
    </row>
    <row r="1722" spans="39:49" ht="36.75" customHeight="1">
      <c r="AM1722" s="247"/>
      <c r="AN1722" s="247"/>
      <c r="AO1722" s="247"/>
      <c r="AP1722" s="247"/>
      <c r="AQ1722" s="247"/>
      <c r="AR1722" s="247"/>
      <c r="AS1722" s="247"/>
      <c r="AT1722" s="247"/>
      <c r="AU1722" s="247"/>
      <c r="AW1722" s="116"/>
    </row>
    <row r="1723" spans="39:49" ht="20.25" customHeight="1">
      <c r="AM1723" s="247"/>
      <c r="AN1723" s="247"/>
      <c r="AO1723" s="247"/>
      <c r="AP1723" s="247"/>
      <c r="AQ1723" s="247"/>
      <c r="AR1723" s="247"/>
      <c r="AS1723" s="247"/>
      <c r="AT1723" s="247"/>
      <c r="AU1723" s="247"/>
      <c r="AW1723" s="116"/>
    </row>
    <row r="1724" spans="39:49" ht="45.75" customHeight="1">
      <c r="AM1724" s="247"/>
      <c r="AN1724" s="247"/>
      <c r="AO1724" s="247"/>
      <c r="AP1724" s="247"/>
      <c r="AQ1724" s="247"/>
      <c r="AR1724" s="247"/>
      <c r="AS1724" s="247"/>
      <c r="AT1724" s="247"/>
      <c r="AU1724" s="247"/>
      <c r="AW1724" s="116"/>
    </row>
    <row r="1725" spans="39:49" ht="26.25" customHeight="1">
      <c r="AM1725" s="247"/>
      <c r="AN1725" s="247"/>
      <c r="AO1725" s="247"/>
      <c r="AP1725" s="247"/>
      <c r="AQ1725" s="247"/>
      <c r="AR1725" s="247"/>
      <c r="AS1725" s="247"/>
      <c r="AT1725" s="247"/>
      <c r="AU1725" s="247"/>
      <c r="AW1725" s="116"/>
    </row>
    <row r="1726" spans="39:49" ht="51" customHeight="1">
      <c r="AM1726" s="247"/>
      <c r="AN1726" s="247"/>
      <c r="AO1726" s="247"/>
      <c r="AP1726" s="247"/>
      <c r="AQ1726" s="247"/>
      <c r="AR1726" s="247"/>
      <c r="AS1726" s="247"/>
      <c r="AT1726" s="247"/>
      <c r="AU1726" s="247"/>
      <c r="AW1726" s="116"/>
    </row>
    <row r="1727" spans="39:49" ht="13.5" customHeight="1">
      <c r="AM1727" s="247"/>
      <c r="AN1727" s="247"/>
      <c r="AO1727" s="247"/>
      <c r="AP1727" s="247"/>
      <c r="AQ1727" s="247"/>
      <c r="AR1727" s="247"/>
      <c r="AS1727" s="247"/>
      <c r="AT1727" s="247"/>
      <c r="AU1727" s="247"/>
      <c r="AW1727" s="116"/>
    </row>
    <row r="1728" spans="39:49" ht="24" customHeight="1">
      <c r="AM1728" s="247"/>
      <c r="AN1728" s="247"/>
      <c r="AO1728" s="247"/>
      <c r="AP1728" s="247"/>
      <c r="AQ1728" s="247"/>
      <c r="AR1728" s="247"/>
      <c r="AS1728" s="247"/>
      <c r="AT1728" s="247"/>
      <c r="AU1728" s="247"/>
      <c r="AW1728" s="116"/>
    </row>
    <row r="1729" spans="39:49" ht="13.5" customHeight="1">
      <c r="AM1729" s="247"/>
      <c r="AN1729" s="247"/>
      <c r="AO1729" s="247"/>
      <c r="AP1729" s="247"/>
      <c r="AQ1729" s="247"/>
      <c r="AR1729" s="247"/>
      <c r="AS1729" s="247"/>
      <c r="AT1729" s="247"/>
      <c r="AU1729" s="247"/>
      <c r="AW1729" s="116"/>
    </row>
    <row r="1730" spans="39:49" ht="24" customHeight="1">
      <c r="AM1730" s="247"/>
      <c r="AN1730" s="247"/>
      <c r="AO1730" s="247"/>
      <c r="AP1730" s="247"/>
      <c r="AQ1730" s="247"/>
      <c r="AR1730" s="247"/>
      <c r="AS1730" s="247"/>
      <c r="AT1730" s="247"/>
      <c r="AU1730" s="247"/>
      <c r="AW1730" s="116"/>
    </row>
    <row r="1731" spans="39:49" ht="13.5" customHeight="1">
      <c r="AM1731" s="247"/>
      <c r="AN1731" s="247"/>
      <c r="AO1731" s="247"/>
      <c r="AP1731" s="247"/>
      <c r="AQ1731" s="247"/>
      <c r="AR1731" s="247"/>
      <c r="AS1731" s="247"/>
      <c r="AT1731" s="247"/>
      <c r="AU1731" s="247"/>
      <c r="AW1731" s="116"/>
    </row>
    <row r="1732" spans="39:49" ht="32.25" customHeight="1">
      <c r="AM1732" s="247"/>
      <c r="AN1732" s="247"/>
      <c r="AO1732" s="247"/>
      <c r="AP1732" s="247"/>
      <c r="AQ1732" s="247"/>
      <c r="AR1732" s="247"/>
      <c r="AS1732" s="247"/>
      <c r="AT1732" s="247"/>
      <c r="AU1732" s="247"/>
      <c r="AW1732" s="116"/>
    </row>
    <row r="1733" spans="39:49" ht="22.5" customHeight="1">
      <c r="AM1733" s="247"/>
      <c r="AN1733" s="247"/>
      <c r="AO1733" s="247"/>
      <c r="AP1733" s="247"/>
      <c r="AQ1733" s="247"/>
      <c r="AR1733" s="247"/>
      <c r="AS1733" s="247"/>
      <c r="AT1733" s="247"/>
      <c r="AU1733" s="247"/>
      <c r="AW1733" s="116"/>
    </row>
    <row r="1734" spans="39:49" ht="24" customHeight="1">
      <c r="AM1734" s="247"/>
      <c r="AN1734" s="247"/>
      <c r="AO1734" s="247"/>
      <c r="AP1734" s="247"/>
      <c r="AQ1734" s="247"/>
      <c r="AR1734" s="247"/>
      <c r="AS1734" s="247"/>
      <c r="AT1734" s="247"/>
      <c r="AU1734" s="247"/>
      <c r="AW1734" s="116"/>
    </row>
    <row r="1735" spans="39:49" ht="13.5" customHeight="1">
      <c r="AM1735" s="247"/>
      <c r="AN1735" s="247"/>
      <c r="AO1735" s="247"/>
      <c r="AP1735" s="247"/>
      <c r="AQ1735" s="247"/>
      <c r="AR1735" s="247"/>
      <c r="AS1735" s="247"/>
      <c r="AT1735" s="247"/>
      <c r="AU1735" s="247"/>
      <c r="AW1735" s="116"/>
    </row>
    <row r="1736" spans="39:49" ht="24" customHeight="1">
      <c r="AM1736" s="247"/>
      <c r="AN1736" s="247"/>
      <c r="AO1736" s="247"/>
      <c r="AP1736" s="247"/>
      <c r="AQ1736" s="247"/>
      <c r="AR1736" s="247"/>
      <c r="AS1736" s="247"/>
      <c r="AT1736" s="247"/>
      <c r="AU1736" s="247"/>
      <c r="AW1736" s="116"/>
    </row>
    <row r="1737" spans="39:49" ht="13.5" customHeight="1">
      <c r="AM1737" s="247"/>
      <c r="AN1737" s="247"/>
      <c r="AO1737" s="247"/>
      <c r="AP1737" s="247"/>
      <c r="AQ1737" s="247"/>
      <c r="AR1737" s="247"/>
      <c r="AS1737" s="247"/>
      <c r="AT1737" s="247"/>
      <c r="AU1737" s="247"/>
      <c r="AW1737" s="116"/>
    </row>
    <row r="1738" spans="39:49" ht="24" customHeight="1">
      <c r="AM1738" s="247"/>
      <c r="AN1738" s="247"/>
      <c r="AO1738" s="247"/>
      <c r="AP1738" s="247"/>
      <c r="AQ1738" s="247"/>
      <c r="AR1738" s="247"/>
      <c r="AS1738" s="247"/>
      <c r="AT1738" s="247"/>
      <c r="AU1738" s="247"/>
      <c r="AW1738" s="116"/>
    </row>
    <row r="1739" spans="39:49" ht="13.5" customHeight="1">
      <c r="AM1739" s="247"/>
      <c r="AN1739" s="247"/>
      <c r="AO1739" s="247"/>
      <c r="AP1739" s="247"/>
      <c r="AQ1739" s="247"/>
      <c r="AR1739" s="247"/>
      <c r="AS1739" s="247"/>
      <c r="AT1739" s="247"/>
      <c r="AU1739" s="247"/>
      <c r="AW1739" s="116"/>
    </row>
    <row r="1740" spans="39:49" ht="24" customHeight="1">
      <c r="AM1740" s="247"/>
      <c r="AN1740" s="247"/>
      <c r="AO1740" s="247"/>
      <c r="AP1740" s="247"/>
      <c r="AQ1740" s="247"/>
      <c r="AR1740" s="247"/>
      <c r="AS1740" s="247"/>
      <c r="AT1740" s="247"/>
      <c r="AU1740" s="247"/>
      <c r="AW1740" s="116"/>
    </row>
    <row r="1741" spans="39:49" ht="13.5" customHeight="1">
      <c r="AM1741" s="247"/>
      <c r="AN1741" s="247"/>
      <c r="AO1741" s="247"/>
      <c r="AP1741" s="247"/>
      <c r="AQ1741" s="247"/>
      <c r="AR1741" s="247"/>
      <c r="AS1741" s="247"/>
      <c r="AT1741" s="247"/>
      <c r="AU1741" s="247"/>
      <c r="AW1741" s="116"/>
    </row>
    <row r="1742" spans="39:49" ht="24" customHeight="1">
      <c r="AM1742" s="247"/>
      <c r="AN1742" s="247"/>
      <c r="AO1742" s="247"/>
      <c r="AP1742" s="247"/>
      <c r="AQ1742" s="247"/>
      <c r="AR1742" s="247"/>
      <c r="AS1742" s="247"/>
      <c r="AT1742" s="247"/>
      <c r="AU1742" s="247"/>
      <c r="AW1742" s="116"/>
    </row>
    <row r="1743" spans="39:49" ht="13.5" customHeight="1">
      <c r="AM1743" s="247"/>
      <c r="AN1743" s="247"/>
      <c r="AO1743" s="247"/>
      <c r="AP1743" s="247"/>
      <c r="AQ1743" s="247"/>
      <c r="AR1743" s="247"/>
      <c r="AS1743" s="247"/>
      <c r="AT1743" s="247"/>
      <c r="AU1743" s="247"/>
      <c r="AW1743" s="116"/>
    </row>
    <row r="1744" spans="39:49" ht="37.5" customHeight="1">
      <c r="AM1744" s="247"/>
      <c r="AN1744" s="247"/>
      <c r="AO1744" s="247"/>
      <c r="AP1744" s="247"/>
      <c r="AQ1744" s="247"/>
      <c r="AR1744" s="247"/>
      <c r="AS1744" s="247"/>
      <c r="AT1744" s="247"/>
      <c r="AU1744" s="247"/>
      <c r="AW1744" s="116"/>
    </row>
    <row r="1745" spans="39:49" ht="33.75" customHeight="1">
      <c r="AM1745" s="247"/>
      <c r="AN1745" s="247"/>
      <c r="AO1745" s="247"/>
      <c r="AP1745" s="247"/>
      <c r="AQ1745" s="247"/>
      <c r="AR1745" s="247"/>
      <c r="AS1745" s="247"/>
      <c r="AT1745" s="247"/>
      <c r="AU1745" s="247"/>
      <c r="AW1745" s="116"/>
    </row>
    <row r="1746" spans="39:49" ht="19.5" customHeight="1">
      <c r="AM1746" s="247"/>
      <c r="AN1746" s="247"/>
      <c r="AO1746" s="247"/>
      <c r="AP1746" s="247"/>
      <c r="AQ1746" s="247"/>
      <c r="AR1746" s="247"/>
      <c r="AS1746" s="247"/>
      <c r="AT1746" s="247"/>
      <c r="AU1746" s="247"/>
      <c r="AW1746" s="116"/>
    </row>
    <row r="1747" spans="39:49" ht="13.5" customHeight="1">
      <c r="AM1747" s="247"/>
      <c r="AN1747" s="247"/>
      <c r="AO1747" s="247"/>
      <c r="AP1747" s="247"/>
      <c r="AQ1747" s="247"/>
      <c r="AR1747" s="247"/>
      <c r="AS1747" s="247"/>
      <c r="AT1747" s="247"/>
      <c r="AU1747" s="247"/>
      <c r="AW1747" s="116"/>
    </row>
    <row r="1748" spans="39:49" ht="24" customHeight="1">
      <c r="AM1748" s="247"/>
      <c r="AN1748" s="247"/>
      <c r="AO1748" s="247"/>
      <c r="AP1748" s="247"/>
      <c r="AQ1748" s="247"/>
      <c r="AR1748" s="247"/>
      <c r="AS1748" s="247"/>
      <c r="AT1748" s="247"/>
      <c r="AU1748" s="247"/>
      <c r="AW1748" s="116"/>
    </row>
    <row r="1749" spans="39:49" ht="13.5" customHeight="1">
      <c r="AM1749" s="247"/>
      <c r="AN1749" s="247"/>
      <c r="AO1749" s="247"/>
      <c r="AP1749" s="247"/>
      <c r="AQ1749" s="247"/>
      <c r="AR1749" s="247"/>
      <c r="AS1749" s="247"/>
      <c r="AT1749" s="247"/>
      <c r="AU1749" s="247"/>
      <c r="AW1749" s="116"/>
    </row>
    <row r="1750" spans="39:49" ht="24" customHeight="1">
      <c r="AM1750" s="247"/>
      <c r="AN1750" s="247"/>
      <c r="AO1750" s="247"/>
      <c r="AP1750" s="247"/>
      <c r="AQ1750" s="247"/>
      <c r="AR1750" s="247"/>
      <c r="AS1750" s="247"/>
      <c r="AT1750" s="247"/>
      <c r="AU1750" s="247"/>
      <c r="AW1750" s="116"/>
    </row>
    <row r="1751" spans="39:49" ht="13.5" customHeight="1">
      <c r="AM1751" s="247"/>
      <c r="AN1751" s="247"/>
      <c r="AO1751" s="247"/>
      <c r="AP1751" s="247"/>
      <c r="AQ1751" s="247"/>
      <c r="AR1751" s="247"/>
      <c r="AS1751" s="247"/>
      <c r="AT1751" s="247"/>
      <c r="AU1751" s="247"/>
      <c r="AW1751" s="116"/>
    </row>
    <row r="1752" spans="39:49" ht="24" customHeight="1">
      <c r="AM1752" s="247"/>
      <c r="AN1752" s="247"/>
      <c r="AO1752" s="247"/>
      <c r="AP1752" s="247"/>
      <c r="AQ1752" s="247"/>
      <c r="AR1752" s="247"/>
      <c r="AS1752" s="247"/>
      <c r="AT1752" s="247"/>
      <c r="AU1752" s="247"/>
      <c r="AW1752" s="116"/>
    </row>
    <row r="1753" spans="39:49" ht="13.5" customHeight="1">
      <c r="AM1753" s="247"/>
      <c r="AN1753" s="247"/>
      <c r="AO1753" s="247"/>
      <c r="AP1753" s="247"/>
      <c r="AQ1753" s="247"/>
      <c r="AR1753" s="247"/>
      <c r="AS1753" s="247"/>
      <c r="AT1753" s="247"/>
      <c r="AU1753" s="247"/>
      <c r="AW1753" s="116"/>
    </row>
    <row r="1754" spans="39:49" ht="24" customHeight="1">
      <c r="AM1754" s="247"/>
      <c r="AN1754" s="247"/>
      <c r="AO1754" s="247"/>
      <c r="AP1754" s="247"/>
      <c r="AQ1754" s="247"/>
      <c r="AR1754" s="247"/>
      <c r="AS1754" s="247"/>
      <c r="AT1754" s="247"/>
      <c r="AU1754" s="247"/>
      <c r="AW1754" s="116"/>
    </row>
    <row r="1755" spans="39:49" ht="13.5" customHeight="1">
      <c r="AM1755" s="247"/>
      <c r="AN1755" s="247"/>
      <c r="AO1755" s="247"/>
      <c r="AP1755" s="247"/>
      <c r="AQ1755" s="247"/>
      <c r="AR1755" s="247"/>
      <c r="AS1755" s="247"/>
      <c r="AT1755" s="247"/>
      <c r="AU1755" s="247"/>
      <c r="AW1755" s="116"/>
    </row>
    <row r="1756" spans="39:49" ht="24" customHeight="1">
      <c r="AM1756" s="247"/>
      <c r="AN1756" s="247"/>
      <c r="AO1756" s="247"/>
      <c r="AP1756" s="247"/>
      <c r="AQ1756" s="247"/>
      <c r="AR1756" s="247"/>
      <c r="AS1756" s="247"/>
      <c r="AT1756" s="247"/>
      <c r="AU1756" s="247"/>
      <c r="AW1756" s="116"/>
    </row>
    <row r="1757" spans="39:49" ht="13.5" customHeight="1">
      <c r="AM1757" s="247"/>
      <c r="AN1757" s="247"/>
      <c r="AO1757" s="247"/>
      <c r="AP1757" s="247"/>
      <c r="AQ1757" s="247"/>
      <c r="AR1757" s="247"/>
      <c r="AS1757" s="247"/>
      <c r="AT1757" s="247"/>
      <c r="AU1757" s="247"/>
      <c r="AW1757" s="116"/>
    </row>
    <row r="1758" spans="39:49" ht="24" customHeight="1">
      <c r="AM1758" s="247"/>
      <c r="AN1758" s="247"/>
      <c r="AO1758" s="247"/>
      <c r="AP1758" s="247"/>
      <c r="AQ1758" s="247"/>
      <c r="AR1758" s="247"/>
      <c r="AS1758" s="247"/>
      <c r="AT1758" s="247"/>
      <c r="AU1758" s="247"/>
      <c r="AW1758" s="116"/>
    </row>
    <row r="1759" spans="39:49" ht="13.5" customHeight="1">
      <c r="AM1759" s="247"/>
      <c r="AN1759" s="247"/>
      <c r="AO1759" s="247"/>
      <c r="AP1759" s="247"/>
      <c r="AQ1759" s="247"/>
      <c r="AR1759" s="247"/>
      <c r="AS1759" s="247"/>
      <c r="AT1759" s="247"/>
      <c r="AU1759" s="247"/>
      <c r="AW1759" s="116"/>
    </row>
    <row r="1760" spans="39:49" ht="24" customHeight="1">
      <c r="AM1760" s="247"/>
      <c r="AN1760" s="247"/>
      <c r="AO1760" s="247"/>
      <c r="AP1760" s="247"/>
      <c r="AQ1760" s="247"/>
      <c r="AR1760" s="247"/>
      <c r="AS1760" s="247"/>
      <c r="AT1760" s="247"/>
      <c r="AU1760" s="247"/>
      <c r="AW1760" s="116"/>
    </row>
    <row r="1761" spans="39:49" ht="13.5" customHeight="1">
      <c r="AM1761" s="247"/>
      <c r="AN1761" s="247"/>
      <c r="AO1761" s="247"/>
      <c r="AP1761" s="247"/>
      <c r="AQ1761" s="247"/>
      <c r="AR1761" s="247"/>
      <c r="AS1761" s="247"/>
      <c r="AT1761" s="247"/>
      <c r="AU1761" s="247"/>
      <c r="AW1761" s="116"/>
    </row>
    <row r="1762" spans="39:49" ht="24" customHeight="1">
      <c r="AM1762" s="247"/>
      <c r="AN1762" s="247"/>
      <c r="AO1762" s="247"/>
      <c r="AP1762" s="247"/>
      <c r="AQ1762" s="247"/>
      <c r="AR1762" s="247"/>
      <c r="AS1762" s="247"/>
      <c r="AT1762" s="247"/>
      <c r="AU1762" s="247"/>
      <c r="AW1762" s="116"/>
    </row>
    <row r="1763" spans="39:49" ht="13.5" customHeight="1">
      <c r="AM1763" s="247"/>
      <c r="AN1763" s="247"/>
      <c r="AO1763" s="247"/>
      <c r="AP1763" s="247"/>
      <c r="AQ1763" s="247"/>
      <c r="AR1763" s="247"/>
      <c r="AS1763" s="247"/>
      <c r="AT1763" s="247"/>
      <c r="AU1763" s="247"/>
      <c r="AW1763" s="116"/>
    </row>
    <row r="1764" spans="39:49" ht="24" customHeight="1">
      <c r="AM1764" s="247"/>
      <c r="AN1764" s="247"/>
      <c r="AO1764" s="247"/>
      <c r="AP1764" s="247"/>
      <c r="AQ1764" s="247"/>
      <c r="AR1764" s="247"/>
      <c r="AS1764" s="247"/>
      <c r="AT1764" s="247"/>
      <c r="AU1764" s="247"/>
      <c r="AW1764" s="116"/>
    </row>
    <row r="1765" spans="39:49" ht="13.5" customHeight="1">
      <c r="AM1765" s="247"/>
      <c r="AN1765" s="247"/>
      <c r="AO1765" s="247"/>
      <c r="AP1765" s="247"/>
      <c r="AQ1765" s="247"/>
      <c r="AR1765" s="247"/>
      <c r="AS1765" s="247"/>
      <c r="AT1765" s="247"/>
      <c r="AU1765" s="247"/>
      <c r="AW1765" s="116"/>
    </row>
    <row r="1766" spans="39:49" ht="24" customHeight="1">
      <c r="AM1766" s="247"/>
      <c r="AN1766" s="247"/>
      <c r="AO1766" s="247"/>
      <c r="AP1766" s="247"/>
      <c r="AQ1766" s="247"/>
      <c r="AR1766" s="247"/>
      <c r="AS1766" s="247"/>
      <c r="AT1766" s="247"/>
      <c r="AU1766" s="247"/>
      <c r="AW1766" s="116"/>
    </row>
    <row r="1767" spans="39:49" ht="13.5" customHeight="1">
      <c r="AM1767" s="247"/>
      <c r="AN1767" s="247"/>
      <c r="AO1767" s="247"/>
      <c r="AP1767" s="247"/>
      <c r="AQ1767" s="247"/>
      <c r="AR1767" s="247"/>
      <c r="AS1767" s="247"/>
      <c r="AT1767" s="247"/>
      <c r="AU1767" s="247"/>
      <c r="AW1767" s="116"/>
    </row>
    <row r="1768" spans="39:49" ht="24" customHeight="1">
      <c r="AM1768" s="247"/>
      <c r="AN1768" s="247"/>
      <c r="AO1768" s="247"/>
      <c r="AP1768" s="247"/>
      <c r="AQ1768" s="247"/>
      <c r="AR1768" s="247"/>
      <c r="AS1768" s="247"/>
      <c r="AT1768" s="247"/>
      <c r="AU1768" s="247"/>
      <c r="AW1768" s="116"/>
    </row>
    <row r="1769" spans="39:49" ht="13.5" customHeight="1">
      <c r="AM1769" s="247"/>
      <c r="AN1769" s="247"/>
      <c r="AO1769" s="247"/>
      <c r="AP1769" s="247"/>
      <c r="AQ1769" s="247"/>
      <c r="AR1769" s="247"/>
      <c r="AS1769" s="247"/>
      <c r="AT1769" s="247"/>
      <c r="AU1769" s="247"/>
      <c r="AW1769" s="116"/>
    </row>
    <row r="1770" spans="39:49" ht="24" customHeight="1">
      <c r="AM1770" s="247"/>
      <c r="AN1770" s="247"/>
      <c r="AO1770" s="247"/>
      <c r="AP1770" s="247"/>
      <c r="AQ1770" s="247"/>
      <c r="AR1770" s="247"/>
      <c r="AS1770" s="247"/>
      <c r="AT1770" s="247"/>
      <c r="AU1770" s="247"/>
      <c r="AW1770" s="116"/>
    </row>
    <row r="1771" spans="39:49" ht="13.5" customHeight="1">
      <c r="AM1771" s="247"/>
      <c r="AN1771" s="247"/>
      <c r="AO1771" s="247"/>
      <c r="AP1771" s="247"/>
      <c r="AQ1771" s="247"/>
      <c r="AR1771" s="247"/>
      <c r="AS1771" s="247"/>
      <c r="AT1771" s="247"/>
      <c r="AU1771" s="247"/>
      <c r="AW1771" s="116"/>
    </row>
    <row r="1772" spans="39:49" ht="24" customHeight="1">
      <c r="AM1772" s="247"/>
      <c r="AN1772" s="247"/>
      <c r="AO1772" s="247"/>
      <c r="AP1772" s="247"/>
      <c r="AQ1772" s="247"/>
      <c r="AR1772" s="247"/>
      <c r="AS1772" s="247"/>
      <c r="AT1772" s="247"/>
      <c r="AU1772" s="247"/>
      <c r="AW1772" s="116"/>
    </row>
    <row r="1773" spans="39:49" ht="13.5" customHeight="1">
      <c r="AM1773" s="247"/>
      <c r="AN1773" s="247"/>
      <c r="AO1773" s="247"/>
      <c r="AP1773" s="247"/>
      <c r="AQ1773" s="247"/>
      <c r="AR1773" s="247"/>
      <c r="AS1773" s="247"/>
      <c r="AT1773" s="247"/>
      <c r="AU1773" s="247"/>
      <c r="AW1773" s="116"/>
    </row>
    <row r="1774" spans="39:49" ht="24" customHeight="1">
      <c r="AM1774" s="247"/>
      <c r="AN1774" s="247"/>
      <c r="AO1774" s="247"/>
      <c r="AP1774" s="247"/>
      <c r="AQ1774" s="247"/>
      <c r="AR1774" s="247"/>
      <c r="AS1774" s="247"/>
      <c r="AT1774" s="247"/>
      <c r="AU1774" s="247"/>
      <c r="AW1774" s="116"/>
    </row>
    <row r="1775" spans="39:49" ht="13.5" customHeight="1">
      <c r="AM1775" s="247"/>
      <c r="AN1775" s="247"/>
      <c r="AO1775" s="247"/>
      <c r="AP1775" s="247"/>
      <c r="AQ1775" s="247"/>
      <c r="AR1775" s="247"/>
      <c r="AS1775" s="247"/>
      <c r="AT1775" s="247"/>
      <c r="AU1775" s="247"/>
      <c r="AW1775" s="116"/>
    </row>
    <row r="1776" spans="39:49" ht="24" customHeight="1">
      <c r="AM1776" s="247"/>
      <c r="AN1776" s="247"/>
      <c r="AO1776" s="247"/>
      <c r="AP1776" s="247"/>
      <c r="AQ1776" s="247"/>
      <c r="AR1776" s="247"/>
      <c r="AS1776" s="247"/>
      <c r="AT1776" s="247"/>
      <c r="AU1776" s="247"/>
      <c r="AW1776" s="116"/>
    </row>
    <row r="1777" spans="39:49" ht="13.5" customHeight="1">
      <c r="AM1777" s="247"/>
      <c r="AN1777" s="247"/>
      <c r="AO1777" s="247"/>
      <c r="AP1777" s="247"/>
      <c r="AQ1777" s="247"/>
      <c r="AR1777" s="247"/>
      <c r="AS1777" s="247"/>
      <c r="AT1777" s="247"/>
      <c r="AU1777" s="247"/>
      <c r="AW1777" s="116"/>
    </row>
    <row r="1778" spans="39:49" ht="24" customHeight="1">
      <c r="AM1778" s="247"/>
      <c r="AN1778" s="247"/>
      <c r="AO1778" s="247"/>
      <c r="AP1778" s="247"/>
      <c r="AQ1778" s="247"/>
      <c r="AR1778" s="247"/>
      <c r="AS1778" s="247"/>
      <c r="AT1778" s="247"/>
      <c r="AU1778" s="247"/>
      <c r="AW1778" s="116"/>
    </row>
    <row r="1779" spans="39:49" ht="13.5" customHeight="1">
      <c r="AM1779" s="247"/>
      <c r="AN1779" s="247"/>
      <c r="AO1779" s="247"/>
      <c r="AP1779" s="247"/>
      <c r="AQ1779" s="247"/>
      <c r="AR1779" s="247"/>
      <c r="AS1779" s="247"/>
      <c r="AT1779" s="247"/>
      <c r="AU1779" s="247"/>
      <c r="AW1779" s="116"/>
    </row>
    <row r="1780" spans="39:49" ht="33" customHeight="1">
      <c r="AM1780" s="247"/>
      <c r="AN1780" s="247"/>
      <c r="AO1780" s="247"/>
      <c r="AP1780" s="247"/>
      <c r="AQ1780" s="247"/>
      <c r="AR1780" s="247"/>
      <c r="AS1780" s="247"/>
      <c r="AT1780" s="247"/>
      <c r="AU1780" s="247"/>
      <c r="AW1780" s="116"/>
    </row>
    <row r="1781" spans="39:49" ht="13.5" customHeight="1">
      <c r="AM1781" s="247"/>
      <c r="AN1781" s="247"/>
      <c r="AO1781" s="247"/>
      <c r="AP1781" s="247"/>
      <c r="AQ1781" s="247"/>
      <c r="AR1781" s="247"/>
      <c r="AS1781" s="247"/>
      <c r="AT1781" s="247"/>
      <c r="AU1781" s="247"/>
      <c r="AW1781" s="116"/>
    </row>
    <row r="1782" spans="39:49" ht="24" customHeight="1">
      <c r="AM1782" s="247"/>
      <c r="AN1782" s="247"/>
      <c r="AO1782" s="247"/>
      <c r="AP1782" s="247"/>
      <c r="AQ1782" s="247"/>
      <c r="AR1782" s="247"/>
      <c r="AS1782" s="247"/>
      <c r="AT1782" s="247"/>
      <c r="AU1782" s="247"/>
      <c r="AW1782" s="116"/>
    </row>
    <row r="1783" spans="39:49" ht="13.5" customHeight="1">
      <c r="AM1783" s="247"/>
      <c r="AN1783" s="247"/>
      <c r="AO1783" s="247"/>
      <c r="AP1783" s="247"/>
      <c r="AQ1783" s="247"/>
      <c r="AR1783" s="247"/>
      <c r="AS1783" s="247"/>
      <c r="AT1783" s="247"/>
      <c r="AU1783" s="247"/>
      <c r="AW1783" s="116"/>
    </row>
    <row r="1784" spans="39:49" ht="24" customHeight="1">
      <c r="AM1784" s="247"/>
      <c r="AN1784" s="247"/>
      <c r="AO1784" s="247"/>
      <c r="AP1784" s="247"/>
      <c r="AQ1784" s="247"/>
      <c r="AR1784" s="247"/>
      <c r="AS1784" s="247"/>
      <c r="AT1784" s="247"/>
      <c r="AU1784" s="247"/>
      <c r="AW1784" s="116"/>
    </row>
    <row r="1785" spans="39:49" ht="13.5" customHeight="1">
      <c r="AM1785" s="247"/>
      <c r="AN1785" s="247"/>
      <c r="AO1785" s="247"/>
      <c r="AP1785" s="247"/>
      <c r="AQ1785" s="247"/>
      <c r="AR1785" s="247"/>
      <c r="AS1785" s="247"/>
      <c r="AT1785" s="247"/>
      <c r="AU1785" s="247"/>
      <c r="AW1785" s="116"/>
    </row>
    <row r="1786" spans="39:49" ht="24" customHeight="1">
      <c r="AM1786" s="247"/>
      <c r="AN1786" s="247"/>
      <c r="AO1786" s="247"/>
      <c r="AP1786" s="247"/>
      <c r="AQ1786" s="247"/>
      <c r="AR1786" s="247"/>
      <c r="AS1786" s="247"/>
      <c r="AT1786" s="247"/>
      <c r="AU1786" s="247"/>
      <c r="AW1786" s="116"/>
    </row>
    <row r="1787" spans="39:49" ht="13.5" customHeight="1">
      <c r="AM1787" s="247"/>
      <c r="AN1787" s="247"/>
      <c r="AO1787" s="247"/>
      <c r="AP1787" s="247"/>
      <c r="AQ1787" s="247"/>
      <c r="AR1787" s="247"/>
      <c r="AS1787" s="247"/>
      <c r="AT1787" s="247"/>
      <c r="AU1787" s="247"/>
      <c r="AW1787" s="116"/>
    </row>
    <row r="1788" spans="39:49" ht="24" customHeight="1">
      <c r="AM1788" s="247"/>
      <c r="AN1788" s="247"/>
      <c r="AO1788" s="247"/>
      <c r="AP1788" s="247"/>
      <c r="AQ1788" s="247"/>
      <c r="AR1788" s="247"/>
      <c r="AS1788" s="247"/>
      <c r="AT1788" s="247"/>
      <c r="AU1788" s="247"/>
      <c r="AW1788" s="116"/>
    </row>
    <row r="1789" spans="39:49" ht="13.5" customHeight="1">
      <c r="AM1789" s="247"/>
      <c r="AN1789" s="247"/>
      <c r="AO1789" s="247"/>
      <c r="AP1789" s="247"/>
      <c r="AQ1789" s="247"/>
      <c r="AR1789" s="247"/>
      <c r="AS1789" s="247"/>
      <c r="AT1789" s="247"/>
      <c r="AU1789" s="247"/>
      <c r="AW1789" s="116"/>
    </row>
    <row r="1790" spans="39:49" ht="24" customHeight="1">
      <c r="AM1790" s="247"/>
      <c r="AN1790" s="247"/>
      <c r="AO1790" s="247"/>
      <c r="AP1790" s="247"/>
      <c r="AQ1790" s="247"/>
      <c r="AR1790" s="247"/>
      <c r="AS1790" s="247"/>
      <c r="AT1790" s="247"/>
      <c r="AU1790" s="247"/>
      <c r="AW1790" s="116"/>
    </row>
    <row r="1791" spans="39:49" ht="13.5" customHeight="1">
      <c r="AM1791" s="247"/>
      <c r="AN1791" s="247"/>
      <c r="AO1791" s="247"/>
      <c r="AP1791" s="247"/>
      <c r="AQ1791" s="247"/>
      <c r="AR1791" s="247"/>
      <c r="AS1791" s="247"/>
      <c r="AT1791" s="247"/>
      <c r="AU1791" s="247"/>
      <c r="AW1791" s="116"/>
    </row>
    <row r="1792" spans="39:49" ht="24" customHeight="1">
      <c r="AM1792" s="247"/>
      <c r="AN1792" s="247"/>
      <c r="AO1792" s="247"/>
      <c r="AP1792" s="247"/>
      <c r="AQ1792" s="247"/>
      <c r="AR1792" s="247"/>
      <c r="AS1792" s="247"/>
      <c r="AT1792" s="247"/>
      <c r="AU1792" s="247"/>
      <c r="AW1792" s="116"/>
    </row>
    <row r="1793" spans="39:49" ht="13.5" customHeight="1">
      <c r="AM1793" s="247"/>
      <c r="AN1793" s="247"/>
      <c r="AO1793" s="247"/>
      <c r="AP1793" s="247"/>
      <c r="AQ1793" s="247"/>
      <c r="AR1793" s="247"/>
      <c r="AS1793" s="247"/>
      <c r="AT1793" s="247"/>
      <c r="AU1793" s="247"/>
      <c r="AW1793" s="116"/>
    </row>
    <row r="1794" spans="39:49" ht="24" customHeight="1">
      <c r="AM1794" s="247"/>
      <c r="AN1794" s="247"/>
      <c r="AO1794" s="247"/>
      <c r="AP1794" s="247"/>
      <c r="AQ1794" s="247"/>
      <c r="AR1794" s="247"/>
      <c r="AS1794" s="247"/>
      <c r="AT1794" s="247"/>
      <c r="AU1794" s="247"/>
      <c r="AW1794" s="116"/>
    </row>
    <row r="1795" spans="39:49" ht="13.5" customHeight="1">
      <c r="AM1795" s="247"/>
      <c r="AN1795" s="247"/>
      <c r="AO1795" s="247"/>
      <c r="AP1795" s="247"/>
      <c r="AQ1795" s="247"/>
      <c r="AR1795" s="247"/>
      <c r="AS1795" s="247"/>
      <c r="AT1795" s="247"/>
      <c r="AU1795" s="247"/>
      <c r="AW1795" s="116"/>
    </row>
    <row r="1796" spans="39:49" ht="24" customHeight="1">
      <c r="AM1796" s="247"/>
      <c r="AN1796" s="247"/>
      <c r="AO1796" s="247"/>
      <c r="AP1796" s="247"/>
      <c r="AQ1796" s="247"/>
      <c r="AR1796" s="247"/>
      <c r="AS1796" s="247"/>
      <c r="AT1796" s="247"/>
      <c r="AU1796" s="247"/>
      <c r="AW1796" s="116"/>
    </row>
    <row r="1797" spans="39:49" ht="13.5" customHeight="1">
      <c r="AM1797" s="247"/>
      <c r="AN1797" s="247"/>
      <c r="AO1797" s="247"/>
      <c r="AP1797" s="247"/>
      <c r="AQ1797" s="247"/>
      <c r="AR1797" s="247"/>
      <c r="AS1797" s="247"/>
      <c r="AT1797" s="247"/>
      <c r="AU1797" s="247"/>
      <c r="AW1797" s="116"/>
    </row>
    <row r="1798" spans="39:49" ht="24" customHeight="1">
      <c r="AM1798" s="247"/>
      <c r="AN1798" s="247"/>
      <c r="AO1798" s="247"/>
      <c r="AP1798" s="247"/>
      <c r="AQ1798" s="247"/>
      <c r="AR1798" s="247"/>
      <c r="AS1798" s="247"/>
      <c r="AT1798" s="247"/>
      <c r="AU1798" s="247"/>
      <c r="AW1798" s="116"/>
    </row>
    <row r="1799" spans="39:49" ht="13.5" customHeight="1">
      <c r="AM1799" s="247"/>
      <c r="AN1799" s="247"/>
      <c r="AO1799" s="247"/>
      <c r="AP1799" s="247"/>
      <c r="AQ1799" s="247"/>
      <c r="AR1799" s="247"/>
      <c r="AS1799" s="247"/>
      <c r="AT1799" s="247"/>
      <c r="AU1799" s="247"/>
      <c r="AW1799" s="116"/>
    </row>
    <row r="1800" spans="39:49" ht="24" customHeight="1">
      <c r="AM1800" s="247"/>
      <c r="AN1800" s="247"/>
      <c r="AO1800" s="247"/>
      <c r="AP1800" s="247"/>
      <c r="AQ1800" s="247"/>
      <c r="AR1800" s="247"/>
      <c r="AS1800" s="247"/>
      <c r="AT1800" s="247"/>
      <c r="AU1800" s="247"/>
      <c r="AW1800" s="116"/>
    </row>
    <row r="1801" spans="39:49" ht="13.5" customHeight="1">
      <c r="AM1801" s="247"/>
      <c r="AN1801" s="247"/>
      <c r="AO1801" s="247"/>
      <c r="AP1801" s="247"/>
      <c r="AQ1801" s="247"/>
      <c r="AR1801" s="247"/>
      <c r="AS1801" s="247"/>
      <c r="AT1801" s="247"/>
      <c r="AU1801" s="247"/>
      <c r="AW1801" s="116"/>
    </row>
    <row r="1802" spans="39:49" ht="24" customHeight="1">
      <c r="AM1802" s="247"/>
      <c r="AN1802" s="247"/>
      <c r="AO1802" s="247"/>
      <c r="AP1802" s="247"/>
      <c r="AQ1802" s="247"/>
      <c r="AR1802" s="247"/>
      <c r="AS1802" s="247"/>
      <c r="AT1802" s="247"/>
      <c r="AU1802" s="247"/>
      <c r="AW1802" s="116"/>
    </row>
    <row r="1803" spans="39:49" ht="13.5" customHeight="1">
      <c r="AM1803" s="247"/>
      <c r="AN1803" s="247"/>
      <c r="AO1803" s="247"/>
      <c r="AP1803" s="247"/>
      <c r="AQ1803" s="247"/>
      <c r="AR1803" s="247"/>
      <c r="AS1803" s="247"/>
      <c r="AT1803" s="247"/>
      <c r="AU1803" s="247"/>
      <c r="AW1803" s="116"/>
    </row>
    <row r="1804" spans="39:49" ht="24" customHeight="1">
      <c r="AM1804" s="247"/>
      <c r="AN1804" s="247"/>
      <c r="AO1804" s="247"/>
      <c r="AP1804" s="247"/>
      <c r="AQ1804" s="247"/>
      <c r="AR1804" s="247"/>
      <c r="AS1804" s="247"/>
      <c r="AT1804" s="247"/>
      <c r="AU1804" s="247"/>
      <c r="AW1804" s="116"/>
    </row>
    <row r="1805" spans="39:49" ht="13.5" customHeight="1">
      <c r="AM1805" s="247"/>
      <c r="AN1805" s="247"/>
      <c r="AO1805" s="247"/>
      <c r="AP1805" s="247"/>
      <c r="AQ1805" s="247"/>
      <c r="AR1805" s="247"/>
      <c r="AS1805" s="247"/>
      <c r="AT1805" s="247"/>
      <c r="AU1805" s="247"/>
      <c r="AW1805" s="116"/>
    </row>
    <row r="1806" spans="39:49" ht="24" customHeight="1">
      <c r="AM1806" s="247"/>
      <c r="AN1806" s="247"/>
      <c r="AO1806" s="247"/>
      <c r="AP1806" s="247"/>
      <c r="AQ1806" s="247"/>
      <c r="AR1806" s="247"/>
      <c r="AS1806" s="247"/>
      <c r="AT1806" s="247"/>
      <c r="AU1806" s="247"/>
      <c r="AW1806" s="116"/>
    </row>
    <row r="1807" spans="39:49" ht="13.5" customHeight="1">
      <c r="AM1807" s="247"/>
      <c r="AN1807" s="247"/>
      <c r="AO1807" s="247"/>
      <c r="AP1807" s="247"/>
      <c r="AQ1807" s="247"/>
      <c r="AR1807" s="247"/>
      <c r="AS1807" s="247"/>
      <c r="AT1807" s="247"/>
      <c r="AU1807" s="247"/>
      <c r="AW1807" s="116"/>
    </row>
    <row r="1808" spans="39:49" ht="24" customHeight="1">
      <c r="AM1808" s="247"/>
      <c r="AN1808" s="247"/>
      <c r="AO1808" s="247"/>
      <c r="AP1808" s="247"/>
      <c r="AQ1808" s="247"/>
      <c r="AR1808" s="247"/>
      <c r="AS1808" s="247"/>
      <c r="AT1808" s="247"/>
      <c r="AU1808" s="247"/>
      <c r="AW1808" s="116"/>
    </row>
    <row r="1809" spans="39:49" ht="13.5" customHeight="1">
      <c r="AM1809" s="247"/>
      <c r="AN1809" s="247"/>
      <c r="AO1809" s="247"/>
      <c r="AP1809" s="247"/>
      <c r="AQ1809" s="247"/>
      <c r="AR1809" s="247"/>
      <c r="AS1809" s="247"/>
      <c r="AT1809" s="247"/>
      <c r="AU1809" s="247"/>
      <c r="AW1809" s="116"/>
    </row>
    <row r="1810" spans="39:49" ht="24" customHeight="1">
      <c r="AM1810" s="247"/>
      <c r="AN1810" s="247"/>
      <c r="AO1810" s="247"/>
      <c r="AP1810" s="247"/>
      <c r="AQ1810" s="247"/>
      <c r="AR1810" s="247"/>
      <c r="AS1810" s="247"/>
      <c r="AT1810" s="247"/>
      <c r="AU1810" s="247"/>
      <c r="AW1810" s="116"/>
    </row>
    <row r="1811" spans="39:49" ht="13.5" customHeight="1">
      <c r="AM1811" s="247"/>
      <c r="AN1811" s="247"/>
      <c r="AO1811" s="247"/>
      <c r="AP1811" s="247"/>
      <c r="AQ1811" s="247"/>
      <c r="AR1811" s="247"/>
      <c r="AS1811" s="247"/>
      <c r="AT1811" s="247"/>
      <c r="AU1811" s="247"/>
      <c r="AW1811" s="116"/>
    </row>
    <row r="1812" spans="39:49" ht="24" customHeight="1">
      <c r="AM1812" s="247"/>
      <c r="AN1812" s="247"/>
      <c r="AO1812" s="247"/>
      <c r="AP1812" s="247"/>
      <c r="AQ1812" s="247"/>
      <c r="AR1812" s="247"/>
      <c r="AS1812" s="247"/>
      <c r="AT1812" s="247"/>
      <c r="AU1812" s="247"/>
      <c r="AW1812" s="116"/>
    </row>
    <row r="1813" spans="39:49" ht="13.5" customHeight="1">
      <c r="AM1813" s="247"/>
      <c r="AN1813" s="247"/>
      <c r="AO1813" s="247"/>
      <c r="AP1813" s="247"/>
      <c r="AQ1813" s="247"/>
      <c r="AR1813" s="247"/>
      <c r="AS1813" s="247"/>
      <c r="AT1813" s="247"/>
      <c r="AU1813" s="247"/>
      <c r="AW1813" s="116"/>
    </row>
    <row r="1814" spans="39:49" ht="24" customHeight="1">
      <c r="AM1814" s="247"/>
      <c r="AN1814" s="247"/>
      <c r="AO1814" s="247"/>
      <c r="AP1814" s="247"/>
      <c r="AQ1814" s="247"/>
      <c r="AR1814" s="247"/>
      <c r="AS1814" s="247"/>
      <c r="AT1814" s="247"/>
      <c r="AU1814" s="247"/>
      <c r="AW1814" s="116"/>
    </row>
    <row r="1815" spans="39:49" ht="13.5" customHeight="1">
      <c r="AM1815" s="247"/>
      <c r="AN1815" s="247"/>
      <c r="AO1815" s="247"/>
      <c r="AP1815" s="247"/>
      <c r="AQ1815" s="247"/>
      <c r="AR1815" s="247"/>
      <c r="AS1815" s="247"/>
      <c r="AT1815" s="247"/>
      <c r="AU1815" s="247"/>
      <c r="AW1815" s="116"/>
    </row>
    <row r="1816" spans="39:49" ht="24" customHeight="1">
      <c r="AM1816" s="247"/>
      <c r="AN1816" s="247"/>
      <c r="AO1816" s="247"/>
      <c r="AP1816" s="247"/>
      <c r="AQ1816" s="247"/>
      <c r="AR1816" s="247"/>
      <c r="AS1816" s="247"/>
      <c r="AT1816" s="247"/>
      <c r="AU1816" s="247"/>
      <c r="AW1816" s="116"/>
    </row>
    <row r="1817" spans="39:49" ht="13.5" customHeight="1">
      <c r="AM1817" s="247"/>
      <c r="AN1817" s="247"/>
      <c r="AO1817" s="247"/>
      <c r="AP1817" s="247"/>
      <c r="AQ1817" s="247"/>
      <c r="AR1817" s="247"/>
      <c r="AS1817" s="247"/>
      <c r="AT1817" s="247"/>
      <c r="AU1817" s="247"/>
      <c r="AW1817" s="116"/>
    </row>
    <row r="1818" spans="39:49" ht="24" customHeight="1">
      <c r="AM1818" s="247"/>
      <c r="AN1818" s="247"/>
      <c r="AO1818" s="247"/>
      <c r="AP1818" s="247"/>
      <c r="AQ1818" s="247"/>
      <c r="AR1818" s="247"/>
      <c r="AS1818" s="247"/>
      <c r="AT1818" s="247"/>
      <c r="AU1818" s="247"/>
      <c r="AW1818" s="116"/>
    </row>
    <row r="1819" spans="39:49" ht="13.5" customHeight="1">
      <c r="AM1819" s="247"/>
      <c r="AN1819" s="247"/>
      <c r="AO1819" s="247"/>
      <c r="AP1819" s="247"/>
      <c r="AQ1819" s="247"/>
      <c r="AR1819" s="247"/>
      <c r="AS1819" s="247"/>
      <c r="AT1819" s="247"/>
      <c r="AU1819" s="247"/>
      <c r="AW1819" s="116"/>
    </row>
    <row r="1820" spans="39:49" ht="24" customHeight="1">
      <c r="AM1820" s="247"/>
      <c r="AN1820" s="247"/>
      <c r="AO1820" s="247"/>
      <c r="AP1820" s="247"/>
      <c r="AQ1820" s="247"/>
      <c r="AR1820" s="247"/>
      <c r="AS1820" s="247"/>
      <c r="AT1820" s="247"/>
      <c r="AU1820" s="247"/>
      <c r="AW1820" s="116"/>
    </row>
    <row r="1821" spans="39:49" ht="13.5" customHeight="1">
      <c r="AM1821" s="247"/>
      <c r="AN1821" s="247"/>
      <c r="AO1821" s="247"/>
      <c r="AP1821" s="247"/>
      <c r="AQ1821" s="247"/>
      <c r="AR1821" s="247"/>
      <c r="AS1821" s="247"/>
      <c r="AT1821" s="247"/>
      <c r="AU1821" s="247"/>
      <c r="AW1821" s="116"/>
    </row>
    <row r="1822" spans="39:49" ht="24" customHeight="1">
      <c r="AM1822" s="247"/>
      <c r="AN1822" s="247"/>
      <c r="AO1822" s="247"/>
      <c r="AP1822" s="247"/>
      <c r="AQ1822" s="247"/>
      <c r="AR1822" s="247"/>
      <c r="AS1822" s="247"/>
      <c r="AT1822" s="247"/>
      <c r="AU1822" s="247"/>
      <c r="AW1822" s="116"/>
    </row>
    <row r="1823" spans="39:49" ht="13.5" customHeight="1">
      <c r="AM1823" s="247"/>
      <c r="AN1823" s="247"/>
      <c r="AO1823" s="247"/>
      <c r="AP1823" s="247"/>
      <c r="AQ1823" s="247"/>
      <c r="AR1823" s="247"/>
      <c r="AS1823" s="247"/>
      <c r="AT1823" s="247"/>
      <c r="AU1823" s="247"/>
      <c r="AW1823" s="116"/>
    </row>
    <row r="1824" spans="39:49" ht="24" customHeight="1">
      <c r="AM1824" s="247"/>
      <c r="AN1824" s="247"/>
      <c r="AO1824" s="247"/>
      <c r="AP1824" s="247"/>
      <c r="AQ1824" s="247"/>
      <c r="AR1824" s="247"/>
      <c r="AS1824" s="247"/>
      <c r="AT1824" s="247"/>
      <c r="AU1824" s="247"/>
      <c r="AW1824" s="116"/>
    </row>
    <row r="1825" spans="39:49" ht="13.5" customHeight="1">
      <c r="AM1825" s="247"/>
      <c r="AN1825" s="247"/>
      <c r="AO1825" s="247"/>
      <c r="AP1825" s="247"/>
      <c r="AQ1825" s="247"/>
      <c r="AR1825" s="247"/>
      <c r="AS1825" s="247"/>
      <c r="AT1825" s="247"/>
      <c r="AU1825" s="247"/>
      <c r="AW1825" s="116"/>
    </row>
    <row r="1826" spans="39:49" ht="24" customHeight="1">
      <c r="AM1826" s="247"/>
      <c r="AN1826" s="247"/>
      <c r="AO1826" s="247"/>
      <c r="AP1826" s="247"/>
      <c r="AQ1826" s="247"/>
      <c r="AR1826" s="247"/>
      <c r="AS1826" s="247"/>
      <c r="AT1826" s="247"/>
      <c r="AU1826" s="247"/>
      <c r="AW1826" s="116"/>
    </row>
    <row r="1827" spans="39:49" ht="13.5" customHeight="1">
      <c r="AM1827" s="247"/>
      <c r="AN1827" s="247"/>
      <c r="AO1827" s="247"/>
      <c r="AP1827" s="247"/>
      <c r="AQ1827" s="247"/>
      <c r="AR1827" s="247"/>
      <c r="AS1827" s="247"/>
      <c r="AT1827" s="247"/>
      <c r="AU1827" s="247"/>
      <c r="AW1827" s="116"/>
    </row>
    <row r="1828" spans="39:49" ht="24" customHeight="1">
      <c r="AM1828" s="247"/>
      <c r="AN1828" s="247"/>
      <c r="AO1828" s="247"/>
      <c r="AP1828" s="247"/>
      <c r="AQ1828" s="247"/>
      <c r="AR1828" s="247"/>
      <c r="AS1828" s="247"/>
      <c r="AT1828" s="247"/>
      <c r="AU1828" s="247"/>
      <c r="AW1828" s="116"/>
    </row>
    <row r="1829" spans="39:49" ht="13.5" customHeight="1">
      <c r="AM1829" s="247"/>
      <c r="AN1829" s="247"/>
      <c r="AO1829" s="247"/>
      <c r="AP1829" s="247"/>
      <c r="AQ1829" s="247"/>
      <c r="AR1829" s="247"/>
      <c r="AS1829" s="247"/>
      <c r="AT1829" s="247"/>
      <c r="AU1829" s="247"/>
      <c r="AW1829" s="116"/>
    </row>
    <row r="1830" spans="39:49" ht="24" customHeight="1">
      <c r="AM1830" s="247"/>
      <c r="AN1830" s="247"/>
      <c r="AO1830" s="247"/>
      <c r="AP1830" s="247"/>
      <c r="AQ1830" s="247"/>
      <c r="AR1830" s="247"/>
      <c r="AS1830" s="247"/>
      <c r="AT1830" s="247"/>
      <c r="AU1830" s="247"/>
      <c r="AW1830" s="116"/>
    </row>
    <row r="1831" spans="39:49" ht="13.5" customHeight="1">
      <c r="AM1831" s="247"/>
      <c r="AN1831" s="247"/>
      <c r="AO1831" s="247"/>
      <c r="AP1831" s="247"/>
      <c r="AQ1831" s="247"/>
      <c r="AR1831" s="247"/>
      <c r="AS1831" s="247"/>
      <c r="AT1831" s="247"/>
      <c r="AU1831" s="247"/>
      <c r="AW1831" s="116"/>
    </row>
    <row r="1832" spans="39:49" ht="24" customHeight="1">
      <c r="AM1832" s="247"/>
      <c r="AN1832" s="247"/>
      <c r="AO1832" s="247"/>
      <c r="AP1832" s="247"/>
      <c r="AQ1832" s="247"/>
      <c r="AR1832" s="247"/>
      <c r="AS1832" s="247"/>
      <c r="AT1832" s="247"/>
      <c r="AU1832" s="247"/>
      <c r="AW1832" s="116"/>
    </row>
    <row r="1833" spans="39:49" ht="13.5" customHeight="1">
      <c r="AM1833" s="247"/>
      <c r="AN1833" s="247"/>
      <c r="AO1833" s="247"/>
      <c r="AP1833" s="247"/>
      <c r="AQ1833" s="247"/>
      <c r="AR1833" s="247"/>
      <c r="AS1833" s="247"/>
      <c r="AT1833" s="247"/>
      <c r="AU1833" s="247"/>
      <c r="AW1833" s="116"/>
    </row>
    <row r="1834" spans="39:49" ht="24" customHeight="1">
      <c r="AM1834" s="247"/>
      <c r="AN1834" s="247"/>
      <c r="AO1834" s="247"/>
      <c r="AP1834" s="247"/>
      <c r="AQ1834" s="247"/>
      <c r="AR1834" s="247"/>
      <c r="AS1834" s="247"/>
      <c r="AT1834" s="247"/>
      <c r="AU1834" s="247"/>
      <c r="AW1834" s="116"/>
    </row>
    <row r="1835" spans="39:49" ht="13.5" customHeight="1">
      <c r="AM1835" s="247"/>
      <c r="AN1835" s="247"/>
      <c r="AO1835" s="247"/>
      <c r="AP1835" s="247"/>
      <c r="AQ1835" s="247"/>
      <c r="AR1835" s="247"/>
      <c r="AS1835" s="247"/>
      <c r="AT1835" s="247"/>
      <c r="AU1835" s="247"/>
      <c r="AW1835" s="116"/>
    </row>
    <row r="1836" spans="39:49" ht="24" customHeight="1">
      <c r="AM1836" s="247"/>
      <c r="AN1836" s="247"/>
      <c r="AO1836" s="247"/>
      <c r="AP1836" s="247"/>
      <c r="AQ1836" s="247"/>
      <c r="AR1836" s="247"/>
      <c r="AS1836" s="247"/>
      <c r="AT1836" s="247"/>
      <c r="AU1836" s="247"/>
      <c r="AW1836" s="116"/>
    </row>
    <row r="1837" spans="39:49" ht="13.5" customHeight="1">
      <c r="AM1837" s="247"/>
      <c r="AN1837" s="247"/>
      <c r="AO1837" s="247"/>
      <c r="AP1837" s="247"/>
      <c r="AQ1837" s="247"/>
      <c r="AR1837" s="247"/>
      <c r="AS1837" s="247"/>
      <c r="AT1837" s="247"/>
      <c r="AU1837" s="247"/>
      <c r="AW1837" s="116"/>
    </row>
    <row r="1838" spans="39:49" ht="24" customHeight="1">
      <c r="AM1838" s="247"/>
      <c r="AN1838" s="247"/>
      <c r="AO1838" s="247"/>
      <c r="AP1838" s="247"/>
      <c r="AQ1838" s="247"/>
      <c r="AR1838" s="247"/>
      <c r="AS1838" s="247"/>
      <c r="AT1838" s="247"/>
      <c r="AU1838" s="247"/>
      <c r="AW1838" s="116"/>
    </row>
    <row r="1839" spans="39:49" ht="13.5" customHeight="1">
      <c r="AM1839" s="247"/>
      <c r="AN1839" s="247"/>
      <c r="AO1839" s="247"/>
      <c r="AP1839" s="247"/>
      <c r="AQ1839" s="247"/>
      <c r="AR1839" s="247"/>
      <c r="AS1839" s="247"/>
      <c r="AT1839" s="247"/>
      <c r="AU1839" s="247"/>
      <c r="AW1839" s="116"/>
    </row>
    <row r="1840" spans="39:49" ht="24" customHeight="1">
      <c r="AM1840" s="247"/>
      <c r="AN1840" s="247"/>
      <c r="AO1840" s="247"/>
      <c r="AP1840" s="247"/>
      <c r="AQ1840" s="247"/>
      <c r="AR1840" s="247"/>
      <c r="AS1840" s="247"/>
      <c r="AT1840" s="247"/>
      <c r="AU1840" s="247"/>
      <c r="AW1840" s="116"/>
    </row>
    <row r="1841" spans="39:49" ht="13.5" customHeight="1">
      <c r="AM1841" s="247"/>
      <c r="AN1841" s="247"/>
      <c r="AO1841" s="247"/>
      <c r="AP1841" s="247"/>
      <c r="AQ1841" s="247"/>
      <c r="AR1841" s="247"/>
      <c r="AS1841" s="247"/>
      <c r="AT1841" s="247"/>
      <c r="AU1841" s="247"/>
      <c r="AW1841" s="116"/>
    </row>
    <row r="1842" spans="39:49" ht="24" customHeight="1">
      <c r="AM1842" s="247"/>
      <c r="AN1842" s="247"/>
      <c r="AO1842" s="247"/>
      <c r="AP1842" s="247"/>
      <c r="AQ1842" s="247"/>
      <c r="AR1842" s="247"/>
      <c r="AS1842" s="247"/>
      <c r="AT1842" s="247"/>
      <c r="AU1842" s="247"/>
      <c r="AW1842" s="116"/>
    </row>
    <row r="1843" spans="39:49" ht="13.5" customHeight="1">
      <c r="AM1843" s="247"/>
      <c r="AN1843" s="247"/>
      <c r="AO1843" s="247"/>
      <c r="AP1843" s="247"/>
      <c r="AQ1843" s="247"/>
      <c r="AR1843" s="247"/>
      <c r="AS1843" s="247"/>
      <c r="AT1843" s="247"/>
      <c r="AU1843" s="247"/>
      <c r="AW1843" s="116"/>
    </row>
    <row r="1844" spans="39:49" ht="24" customHeight="1">
      <c r="AM1844" s="247"/>
      <c r="AN1844" s="247"/>
      <c r="AO1844" s="247"/>
      <c r="AP1844" s="247"/>
      <c r="AQ1844" s="247"/>
      <c r="AR1844" s="247"/>
      <c r="AS1844" s="247"/>
      <c r="AT1844" s="247"/>
      <c r="AU1844" s="247"/>
      <c r="AW1844" s="116"/>
    </row>
    <row r="1845" spans="39:49" ht="13.5" customHeight="1">
      <c r="AM1845" s="247"/>
      <c r="AN1845" s="247"/>
      <c r="AO1845" s="247"/>
      <c r="AP1845" s="247"/>
      <c r="AQ1845" s="247"/>
      <c r="AR1845" s="247"/>
      <c r="AS1845" s="247"/>
      <c r="AT1845" s="247"/>
      <c r="AU1845" s="247"/>
      <c r="AW1845" s="116"/>
    </row>
    <row r="1846" spans="39:49" ht="24" customHeight="1">
      <c r="AM1846" s="247"/>
      <c r="AN1846" s="247"/>
      <c r="AO1846" s="247"/>
      <c r="AP1846" s="247"/>
      <c r="AQ1846" s="247"/>
      <c r="AR1846" s="247"/>
      <c r="AS1846" s="247"/>
      <c r="AT1846" s="247"/>
      <c r="AU1846" s="247"/>
      <c r="AW1846" s="116"/>
    </row>
    <row r="1847" spans="39:49" ht="13.5" customHeight="1">
      <c r="AM1847" s="247"/>
      <c r="AN1847" s="247"/>
      <c r="AO1847" s="247"/>
      <c r="AP1847" s="247"/>
      <c r="AQ1847" s="247"/>
      <c r="AR1847" s="247"/>
      <c r="AS1847" s="247"/>
      <c r="AT1847" s="247"/>
      <c r="AU1847" s="247"/>
      <c r="AW1847" s="116"/>
    </row>
    <row r="1848" spans="39:49" ht="26.25" customHeight="1">
      <c r="AM1848" s="247"/>
      <c r="AN1848" s="247"/>
      <c r="AO1848" s="247"/>
      <c r="AP1848" s="247"/>
      <c r="AQ1848" s="247"/>
      <c r="AR1848" s="247"/>
      <c r="AS1848" s="247"/>
      <c r="AT1848" s="247"/>
      <c r="AU1848" s="247"/>
      <c r="AW1848" s="116"/>
    </row>
    <row r="1849" spans="39:49" ht="13.5" customHeight="1">
      <c r="AM1849" s="247"/>
      <c r="AN1849" s="247"/>
      <c r="AO1849" s="247"/>
      <c r="AP1849" s="247"/>
      <c r="AQ1849" s="247"/>
      <c r="AR1849" s="247"/>
      <c r="AS1849" s="247"/>
      <c r="AT1849" s="247"/>
      <c r="AU1849" s="247"/>
      <c r="AW1849" s="116"/>
    </row>
    <row r="1850" spans="39:49" ht="24" customHeight="1">
      <c r="AM1850" s="247"/>
      <c r="AN1850" s="247"/>
      <c r="AO1850" s="247"/>
      <c r="AP1850" s="247"/>
      <c r="AQ1850" s="247"/>
      <c r="AR1850" s="247"/>
      <c r="AS1850" s="247"/>
      <c r="AT1850" s="247"/>
      <c r="AU1850" s="247"/>
      <c r="AW1850" s="116"/>
    </row>
    <row r="1851" spans="39:49" ht="13.5" customHeight="1">
      <c r="AM1851" s="247"/>
      <c r="AN1851" s="247"/>
      <c r="AO1851" s="247"/>
      <c r="AP1851" s="247"/>
      <c r="AQ1851" s="247"/>
      <c r="AR1851" s="247"/>
      <c r="AS1851" s="247"/>
      <c r="AT1851" s="247"/>
      <c r="AU1851" s="247"/>
      <c r="AW1851" s="116"/>
    </row>
    <row r="1852" spans="39:49" ht="24" customHeight="1">
      <c r="AM1852" s="247"/>
      <c r="AN1852" s="247"/>
      <c r="AO1852" s="247"/>
      <c r="AP1852" s="247"/>
      <c r="AQ1852" s="247"/>
      <c r="AR1852" s="247"/>
      <c r="AS1852" s="247"/>
      <c r="AT1852" s="247"/>
      <c r="AU1852" s="247"/>
      <c r="AW1852" s="116"/>
    </row>
    <row r="1853" spans="39:49" ht="13.5" customHeight="1">
      <c r="AM1853" s="247"/>
      <c r="AN1853" s="247"/>
      <c r="AO1853" s="247"/>
      <c r="AP1853" s="247"/>
      <c r="AQ1853" s="247"/>
      <c r="AR1853" s="247"/>
      <c r="AS1853" s="247"/>
      <c r="AT1853" s="247"/>
      <c r="AU1853" s="247"/>
      <c r="AW1853" s="116"/>
    </row>
    <row r="1854" spans="39:49" ht="24" customHeight="1">
      <c r="AM1854" s="247"/>
      <c r="AN1854" s="247"/>
      <c r="AO1854" s="247"/>
      <c r="AP1854" s="247"/>
      <c r="AQ1854" s="247"/>
      <c r="AR1854" s="247"/>
      <c r="AS1854" s="247"/>
      <c r="AT1854" s="247"/>
      <c r="AU1854" s="247"/>
      <c r="AW1854" s="116"/>
    </row>
    <row r="1855" spans="39:49" ht="13.5" customHeight="1">
      <c r="AM1855" s="247"/>
      <c r="AN1855" s="247"/>
      <c r="AO1855" s="247"/>
      <c r="AP1855" s="247"/>
      <c r="AQ1855" s="247"/>
      <c r="AR1855" s="247"/>
      <c r="AS1855" s="247"/>
      <c r="AT1855" s="247"/>
      <c r="AU1855" s="247"/>
      <c r="AW1855" s="116"/>
    </row>
    <row r="1856" spans="39:49" ht="24" customHeight="1">
      <c r="AM1856" s="247"/>
      <c r="AN1856" s="247"/>
      <c r="AO1856" s="247"/>
      <c r="AP1856" s="247"/>
      <c r="AQ1856" s="247"/>
      <c r="AR1856" s="247"/>
      <c r="AS1856" s="247"/>
      <c r="AT1856" s="247"/>
      <c r="AU1856" s="247"/>
      <c r="AW1856" s="116"/>
    </row>
    <row r="1857" spans="39:49" ht="13.5" customHeight="1">
      <c r="AM1857" s="247"/>
      <c r="AN1857" s="247"/>
      <c r="AO1857" s="247"/>
      <c r="AP1857" s="247"/>
      <c r="AQ1857" s="247"/>
      <c r="AR1857" s="247"/>
      <c r="AS1857" s="247"/>
      <c r="AT1857" s="247"/>
      <c r="AU1857" s="247"/>
      <c r="AW1857" s="116"/>
    </row>
    <row r="1858" spans="39:49" ht="24" customHeight="1">
      <c r="AM1858" s="247"/>
      <c r="AN1858" s="247"/>
      <c r="AO1858" s="247"/>
      <c r="AP1858" s="247"/>
      <c r="AQ1858" s="247"/>
      <c r="AR1858" s="247"/>
      <c r="AS1858" s="247"/>
      <c r="AT1858" s="247"/>
      <c r="AU1858" s="247"/>
      <c r="AW1858" s="116"/>
    </row>
    <row r="1859" spans="39:49" ht="13.5" customHeight="1">
      <c r="AM1859" s="247"/>
      <c r="AN1859" s="247"/>
      <c r="AO1859" s="247"/>
      <c r="AP1859" s="247"/>
      <c r="AQ1859" s="247"/>
      <c r="AR1859" s="247"/>
      <c r="AS1859" s="247"/>
      <c r="AT1859" s="247"/>
      <c r="AU1859" s="247"/>
      <c r="AW1859" s="116"/>
    </row>
    <row r="1860" spans="39:49" ht="24" customHeight="1">
      <c r="AM1860" s="247"/>
      <c r="AN1860" s="247"/>
      <c r="AO1860" s="247"/>
      <c r="AP1860" s="247"/>
      <c r="AQ1860" s="247"/>
      <c r="AR1860" s="247"/>
      <c r="AS1860" s="247"/>
      <c r="AT1860" s="247"/>
      <c r="AU1860" s="247"/>
      <c r="AW1860" s="116"/>
    </row>
    <row r="1861" spans="39:49" ht="13.5" customHeight="1">
      <c r="AM1861" s="247"/>
      <c r="AN1861" s="247"/>
      <c r="AO1861" s="247"/>
      <c r="AP1861" s="247"/>
      <c r="AQ1861" s="247"/>
      <c r="AR1861" s="247"/>
      <c r="AS1861" s="247"/>
      <c r="AT1861" s="247"/>
      <c r="AU1861" s="247"/>
      <c r="AW1861" s="116"/>
    </row>
    <row r="1862" spans="39:49" ht="24" customHeight="1">
      <c r="AM1862" s="247"/>
      <c r="AN1862" s="247"/>
      <c r="AO1862" s="247"/>
      <c r="AP1862" s="247"/>
      <c r="AQ1862" s="247"/>
      <c r="AR1862" s="247"/>
      <c r="AS1862" s="247"/>
      <c r="AT1862" s="247"/>
      <c r="AU1862" s="247"/>
      <c r="AW1862" s="116"/>
    </row>
    <row r="1863" spans="39:49" ht="13.5" customHeight="1">
      <c r="AM1863" s="247"/>
      <c r="AN1863" s="247"/>
      <c r="AO1863" s="247"/>
      <c r="AP1863" s="247"/>
      <c r="AQ1863" s="247"/>
      <c r="AR1863" s="247"/>
      <c r="AS1863" s="247"/>
      <c r="AT1863" s="247"/>
      <c r="AU1863" s="247"/>
      <c r="AW1863" s="116"/>
    </row>
    <row r="1864" spans="39:49" ht="24" customHeight="1">
      <c r="AM1864" s="247"/>
      <c r="AN1864" s="247"/>
      <c r="AO1864" s="247"/>
      <c r="AP1864" s="247"/>
      <c r="AQ1864" s="247"/>
      <c r="AR1864" s="247"/>
      <c r="AS1864" s="247"/>
      <c r="AT1864" s="247"/>
      <c r="AU1864" s="247"/>
      <c r="AW1864" s="116"/>
    </row>
    <row r="1865" spans="39:49" ht="13.5" customHeight="1">
      <c r="AM1865" s="247"/>
      <c r="AN1865" s="247"/>
      <c r="AO1865" s="247"/>
      <c r="AP1865" s="247"/>
      <c r="AQ1865" s="247"/>
      <c r="AR1865" s="247"/>
      <c r="AS1865" s="247"/>
      <c r="AT1865" s="247"/>
      <c r="AU1865" s="247"/>
      <c r="AW1865" s="116"/>
    </row>
    <row r="1866" spans="39:49" ht="24" customHeight="1">
      <c r="AM1866" s="247"/>
      <c r="AN1866" s="247"/>
      <c r="AO1866" s="247"/>
      <c r="AP1866" s="247"/>
      <c r="AQ1866" s="247"/>
      <c r="AR1866" s="247"/>
      <c r="AS1866" s="247"/>
      <c r="AT1866" s="247"/>
      <c r="AU1866" s="247"/>
      <c r="AW1866" s="116"/>
    </row>
    <row r="1867" spans="39:49" ht="13.5" customHeight="1">
      <c r="AM1867" s="247"/>
      <c r="AN1867" s="247"/>
      <c r="AO1867" s="247"/>
      <c r="AP1867" s="247"/>
      <c r="AQ1867" s="247"/>
      <c r="AR1867" s="247"/>
      <c r="AS1867" s="247"/>
      <c r="AT1867" s="247"/>
      <c r="AU1867" s="247"/>
      <c r="AW1867" s="116"/>
    </row>
    <row r="1868" spans="39:49" ht="24" customHeight="1">
      <c r="AM1868" s="247"/>
      <c r="AN1868" s="247"/>
      <c r="AO1868" s="247"/>
      <c r="AP1868" s="247"/>
      <c r="AQ1868" s="247"/>
      <c r="AR1868" s="247"/>
      <c r="AS1868" s="247"/>
      <c r="AT1868" s="247"/>
      <c r="AU1868" s="247"/>
      <c r="AW1868" s="116"/>
    </row>
    <row r="1869" spans="39:49" ht="13.5" customHeight="1">
      <c r="AM1869" s="247"/>
      <c r="AN1869" s="247"/>
      <c r="AO1869" s="247"/>
      <c r="AP1869" s="247"/>
      <c r="AQ1869" s="247"/>
      <c r="AR1869" s="247"/>
      <c r="AS1869" s="247"/>
      <c r="AT1869" s="247"/>
      <c r="AU1869" s="247"/>
      <c r="AW1869" s="116"/>
    </row>
    <row r="1870" spans="39:49" ht="24" customHeight="1">
      <c r="AM1870" s="247"/>
      <c r="AN1870" s="247"/>
      <c r="AO1870" s="247"/>
      <c r="AP1870" s="247"/>
      <c r="AQ1870" s="247"/>
      <c r="AR1870" s="247"/>
      <c r="AS1870" s="247"/>
      <c r="AT1870" s="247"/>
      <c r="AU1870" s="247"/>
      <c r="AW1870" s="116"/>
    </row>
    <row r="1871" spans="39:49" ht="13.5" customHeight="1">
      <c r="AM1871" s="247"/>
      <c r="AN1871" s="247"/>
      <c r="AO1871" s="247"/>
      <c r="AP1871" s="247"/>
      <c r="AQ1871" s="247"/>
      <c r="AR1871" s="247"/>
      <c r="AS1871" s="247"/>
      <c r="AT1871" s="247"/>
      <c r="AU1871" s="247"/>
      <c r="AW1871" s="116"/>
    </row>
    <row r="1872" spans="39:49" ht="24" customHeight="1">
      <c r="AM1872" s="247"/>
      <c r="AN1872" s="247"/>
      <c r="AO1872" s="247"/>
      <c r="AP1872" s="247"/>
      <c r="AQ1872" s="247"/>
      <c r="AR1872" s="247"/>
      <c r="AS1872" s="247"/>
      <c r="AT1872" s="247"/>
      <c r="AU1872" s="247"/>
      <c r="AW1872" s="116"/>
    </row>
    <row r="1873" spans="39:49" ht="13.5" customHeight="1">
      <c r="AM1873" s="247"/>
      <c r="AN1873" s="247"/>
      <c r="AO1873" s="247"/>
      <c r="AP1873" s="247"/>
      <c r="AQ1873" s="247"/>
      <c r="AR1873" s="247"/>
      <c r="AS1873" s="247"/>
      <c r="AT1873" s="247"/>
      <c r="AU1873" s="247"/>
      <c r="AW1873" s="116"/>
    </row>
    <row r="1874" spans="39:49" ht="24" customHeight="1">
      <c r="AM1874" s="247"/>
      <c r="AN1874" s="247"/>
      <c r="AO1874" s="247"/>
      <c r="AP1874" s="247"/>
      <c r="AQ1874" s="247"/>
      <c r="AR1874" s="247"/>
      <c r="AS1874" s="247"/>
      <c r="AT1874" s="247"/>
      <c r="AU1874" s="247"/>
      <c r="AW1874" s="116"/>
    </row>
    <row r="1875" spans="39:49" ht="13.5" customHeight="1">
      <c r="AM1875" s="247"/>
      <c r="AN1875" s="247"/>
      <c r="AO1875" s="247"/>
      <c r="AP1875" s="247"/>
      <c r="AQ1875" s="247"/>
      <c r="AR1875" s="247"/>
      <c r="AS1875" s="247"/>
      <c r="AT1875" s="247"/>
      <c r="AU1875" s="247"/>
      <c r="AW1875" s="116"/>
    </row>
    <row r="1876" spans="39:49" ht="24" customHeight="1">
      <c r="AM1876" s="247"/>
      <c r="AN1876" s="247"/>
      <c r="AO1876" s="247"/>
      <c r="AP1876" s="247"/>
      <c r="AQ1876" s="247"/>
      <c r="AR1876" s="247"/>
      <c r="AS1876" s="247"/>
      <c r="AT1876" s="247"/>
      <c r="AU1876" s="247"/>
      <c r="AW1876" s="116"/>
    </row>
    <row r="1877" spans="39:49" ht="13.5" customHeight="1">
      <c r="AM1877" s="247"/>
      <c r="AN1877" s="247"/>
      <c r="AO1877" s="247"/>
      <c r="AP1877" s="247"/>
      <c r="AQ1877" s="247"/>
      <c r="AR1877" s="247"/>
      <c r="AS1877" s="247"/>
      <c r="AT1877" s="247"/>
      <c r="AU1877" s="247"/>
      <c r="AW1877" s="116"/>
    </row>
    <row r="1878" spans="39:49" ht="24" customHeight="1">
      <c r="AM1878" s="247"/>
      <c r="AN1878" s="247"/>
      <c r="AO1878" s="247"/>
      <c r="AP1878" s="247"/>
      <c r="AQ1878" s="247"/>
      <c r="AR1878" s="247"/>
      <c r="AS1878" s="247"/>
      <c r="AT1878" s="247"/>
      <c r="AU1878" s="247"/>
      <c r="AW1878" s="116"/>
    </row>
    <row r="1879" spans="39:49" ht="13.5" customHeight="1">
      <c r="AM1879" s="247"/>
      <c r="AN1879" s="247"/>
      <c r="AO1879" s="247"/>
      <c r="AP1879" s="247"/>
      <c r="AQ1879" s="247"/>
      <c r="AR1879" s="247"/>
      <c r="AS1879" s="247"/>
      <c r="AT1879" s="247"/>
      <c r="AU1879" s="247"/>
      <c r="AW1879" s="116"/>
    </row>
    <row r="1880" spans="39:49" ht="24" customHeight="1">
      <c r="AM1880" s="247"/>
      <c r="AN1880" s="247"/>
      <c r="AO1880" s="247"/>
      <c r="AP1880" s="247"/>
      <c r="AQ1880" s="247"/>
      <c r="AR1880" s="247"/>
      <c r="AS1880" s="247"/>
      <c r="AT1880" s="247"/>
      <c r="AU1880" s="247"/>
      <c r="AW1880" s="116"/>
    </row>
    <row r="1881" spans="39:49" ht="13.5" customHeight="1">
      <c r="AM1881" s="247"/>
      <c r="AN1881" s="247"/>
      <c r="AO1881" s="247"/>
      <c r="AP1881" s="247"/>
      <c r="AQ1881" s="247"/>
      <c r="AR1881" s="247"/>
      <c r="AS1881" s="247"/>
      <c r="AT1881" s="247"/>
      <c r="AU1881" s="247"/>
      <c r="AW1881" s="116"/>
    </row>
    <row r="1882" spans="39:49" ht="24" customHeight="1">
      <c r="AM1882" s="247"/>
      <c r="AN1882" s="247"/>
      <c r="AO1882" s="247"/>
      <c r="AP1882" s="247"/>
      <c r="AQ1882" s="247"/>
      <c r="AR1882" s="247"/>
      <c r="AS1882" s="247"/>
      <c r="AT1882" s="247"/>
      <c r="AU1882" s="247"/>
      <c r="AW1882" s="116"/>
    </row>
    <row r="1883" spans="39:49" ht="13.5" customHeight="1">
      <c r="AM1883" s="247"/>
      <c r="AN1883" s="247"/>
      <c r="AO1883" s="247"/>
      <c r="AP1883" s="247"/>
      <c r="AQ1883" s="247"/>
      <c r="AR1883" s="247"/>
      <c r="AS1883" s="247"/>
      <c r="AT1883" s="247"/>
      <c r="AU1883" s="247"/>
      <c r="AW1883" s="116"/>
    </row>
    <row r="1884" spans="39:49" ht="24" customHeight="1">
      <c r="AM1884" s="247"/>
      <c r="AN1884" s="247"/>
      <c r="AO1884" s="247"/>
      <c r="AP1884" s="247"/>
      <c r="AQ1884" s="247"/>
      <c r="AR1884" s="247"/>
      <c r="AS1884" s="247"/>
      <c r="AT1884" s="247"/>
      <c r="AU1884" s="247"/>
      <c r="AW1884" s="116"/>
    </row>
    <row r="1885" spans="39:49" ht="13.5" customHeight="1">
      <c r="AM1885" s="247"/>
      <c r="AN1885" s="247"/>
      <c r="AO1885" s="247"/>
      <c r="AP1885" s="247"/>
      <c r="AQ1885" s="247"/>
      <c r="AR1885" s="247"/>
      <c r="AS1885" s="247"/>
      <c r="AT1885" s="247"/>
      <c r="AU1885" s="247"/>
      <c r="AW1885" s="116"/>
    </row>
    <row r="1886" spans="39:49" ht="24" customHeight="1">
      <c r="AM1886" s="247"/>
      <c r="AN1886" s="247"/>
      <c r="AO1886" s="247"/>
      <c r="AP1886" s="247"/>
      <c r="AQ1886" s="247"/>
      <c r="AR1886" s="247"/>
      <c r="AS1886" s="247"/>
      <c r="AT1886" s="247"/>
      <c r="AU1886" s="247"/>
      <c r="AW1886" s="116"/>
    </row>
    <row r="1887" spans="39:49" ht="13.5" customHeight="1">
      <c r="AM1887" s="247"/>
      <c r="AN1887" s="247"/>
      <c r="AO1887" s="247"/>
      <c r="AP1887" s="247"/>
      <c r="AQ1887" s="247"/>
      <c r="AR1887" s="247"/>
      <c r="AS1887" s="247"/>
      <c r="AT1887" s="247"/>
      <c r="AU1887" s="247"/>
      <c r="AW1887" s="116"/>
    </row>
    <row r="1888" spans="39:49" ht="24" customHeight="1">
      <c r="AM1888" s="247"/>
      <c r="AN1888" s="247"/>
      <c r="AO1888" s="247"/>
      <c r="AP1888" s="247"/>
      <c r="AQ1888" s="247"/>
      <c r="AR1888" s="247"/>
      <c r="AS1888" s="247"/>
      <c r="AT1888" s="247"/>
      <c r="AU1888" s="247"/>
      <c r="AW1888" s="116"/>
    </row>
    <row r="1889" spans="39:49" ht="13.5" customHeight="1">
      <c r="AM1889" s="247"/>
      <c r="AN1889" s="247"/>
      <c r="AO1889" s="247"/>
      <c r="AP1889" s="247"/>
      <c r="AQ1889" s="247"/>
      <c r="AR1889" s="247"/>
      <c r="AS1889" s="247"/>
      <c r="AT1889" s="247"/>
      <c r="AU1889" s="247"/>
      <c r="AW1889" s="116"/>
    </row>
    <row r="1890" spans="39:49" ht="24" customHeight="1">
      <c r="AM1890" s="247"/>
      <c r="AN1890" s="247"/>
      <c r="AO1890" s="247"/>
      <c r="AP1890" s="247"/>
      <c r="AQ1890" s="247"/>
      <c r="AR1890" s="247"/>
      <c r="AS1890" s="247"/>
      <c r="AT1890" s="247"/>
      <c r="AU1890" s="247"/>
      <c r="AW1890" s="116"/>
    </row>
    <row r="1891" spans="39:49" ht="13.5" customHeight="1">
      <c r="AM1891" s="247"/>
      <c r="AN1891" s="247"/>
      <c r="AO1891" s="247"/>
      <c r="AP1891" s="247"/>
      <c r="AQ1891" s="247"/>
      <c r="AR1891" s="247"/>
      <c r="AS1891" s="247"/>
      <c r="AT1891" s="247"/>
      <c r="AU1891" s="247"/>
      <c r="AW1891" s="116"/>
    </row>
    <row r="1892" spans="39:49" ht="24" customHeight="1">
      <c r="AM1892" s="247"/>
      <c r="AN1892" s="247"/>
      <c r="AO1892" s="247"/>
      <c r="AP1892" s="247"/>
      <c r="AQ1892" s="247"/>
      <c r="AR1892" s="247"/>
      <c r="AS1892" s="247"/>
      <c r="AT1892" s="247"/>
      <c r="AU1892" s="247"/>
      <c r="AW1892" s="116"/>
    </row>
    <row r="1893" spans="39:49" ht="13.5" customHeight="1">
      <c r="AM1893" s="247"/>
      <c r="AN1893" s="247"/>
      <c r="AO1893" s="247"/>
      <c r="AP1893" s="247"/>
      <c r="AQ1893" s="247"/>
      <c r="AR1893" s="247"/>
      <c r="AS1893" s="247"/>
      <c r="AT1893" s="247"/>
      <c r="AU1893" s="247"/>
      <c r="AW1893" s="116"/>
    </row>
    <row r="1894" spans="39:49" ht="24" customHeight="1">
      <c r="AM1894" s="247"/>
      <c r="AN1894" s="247"/>
      <c r="AO1894" s="247"/>
      <c r="AP1894" s="247"/>
      <c r="AQ1894" s="247"/>
      <c r="AR1894" s="247"/>
      <c r="AS1894" s="247"/>
      <c r="AT1894" s="247"/>
      <c r="AU1894" s="247"/>
      <c r="AW1894" s="116"/>
    </row>
    <row r="1895" spans="39:49" ht="13.5" customHeight="1">
      <c r="AM1895" s="247"/>
      <c r="AN1895" s="247"/>
      <c r="AO1895" s="247"/>
      <c r="AP1895" s="247"/>
      <c r="AQ1895" s="247"/>
      <c r="AR1895" s="247"/>
      <c r="AS1895" s="247"/>
      <c r="AT1895" s="247"/>
      <c r="AU1895" s="247"/>
      <c r="AW1895" s="116"/>
    </row>
    <row r="1896" spans="39:49" ht="24" customHeight="1">
      <c r="AM1896" s="247"/>
      <c r="AN1896" s="247"/>
      <c r="AO1896" s="247"/>
      <c r="AP1896" s="247"/>
      <c r="AQ1896" s="247"/>
      <c r="AR1896" s="247"/>
      <c r="AS1896" s="247"/>
      <c r="AT1896" s="247"/>
      <c r="AU1896" s="247"/>
      <c r="AW1896" s="116"/>
    </row>
    <row r="1897" spans="39:49" ht="13.5" customHeight="1">
      <c r="AM1897" s="247"/>
      <c r="AN1897" s="247"/>
      <c r="AO1897" s="247"/>
      <c r="AP1897" s="247"/>
      <c r="AQ1897" s="247"/>
      <c r="AR1897" s="247"/>
      <c r="AS1897" s="247"/>
      <c r="AT1897" s="247"/>
      <c r="AU1897" s="247"/>
      <c r="AW1897" s="116"/>
    </row>
    <row r="1898" spans="39:49" ht="24" customHeight="1">
      <c r="AM1898" s="247"/>
      <c r="AN1898" s="247"/>
      <c r="AO1898" s="247"/>
      <c r="AP1898" s="247"/>
      <c r="AQ1898" s="247"/>
      <c r="AR1898" s="247"/>
      <c r="AS1898" s="247"/>
      <c r="AT1898" s="247"/>
      <c r="AU1898" s="247"/>
      <c r="AW1898" s="116"/>
    </row>
    <row r="1899" spans="39:49" ht="13.5" customHeight="1">
      <c r="AM1899" s="247"/>
      <c r="AN1899" s="247"/>
      <c r="AO1899" s="247"/>
      <c r="AP1899" s="247"/>
      <c r="AQ1899" s="247"/>
      <c r="AR1899" s="247"/>
      <c r="AS1899" s="247"/>
      <c r="AT1899" s="247"/>
      <c r="AU1899" s="247"/>
      <c r="AW1899" s="116"/>
    </row>
    <row r="1900" spans="39:49" ht="24" customHeight="1">
      <c r="AM1900" s="247"/>
      <c r="AN1900" s="247"/>
      <c r="AO1900" s="247"/>
      <c r="AP1900" s="247"/>
      <c r="AQ1900" s="247"/>
      <c r="AR1900" s="247"/>
      <c r="AS1900" s="247"/>
      <c r="AT1900" s="247"/>
      <c r="AU1900" s="247"/>
      <c r="AW1900" s="116"/>
    </row>
    <row r="1901" spans="39:49" ht="13.5" customHeight="1">
      <c r="AM1901" s="247"/>
      <c r="AN1901" s="247"/>
      <c r="AO1901" s="247"/>
      <c r="AP1901" s="247"/>
      <c r="AQ1901" s="247"/>
      <c r="AR1901" s="247"/>
      <c r="AS1901" s="247"/>
      <c r="AT1901" s="247"/>
      <c r="AU1901" s="247"/>
      <c r="AW1901" s="116"/>
    </row>
    <row r="1902" spans="39:49" ht="24" customHeight="1">
      <c r="AM1902" s="247"/>
      <c r="AN1902" s="247"/>
      <c r="AO1902" s="247"/>
      <c r="AP1902" s="247"/>
      <c r="AQ1902" s="247"/>
      <c r="AR1902" s="247"/>
      <c r="AS1902" s="247"/>
      <c r="AT1902" s="247"/>
      <c r="AU1902" s="247"/>
      <c r="AW1902" s="116"/>
    </row>
    <row r="1903" spans="39:49" ht="13.5" customHeight="1">
      <c r="AM1903" s="247"/>
      <c r="AN1903" s="247"/>
      <c r="AO1903" s="247"/>
      <c r="AP1903" s="247"/>
      <c r="AQ1903" s="247"/>
      <c r="AR1903" s="247"/>
      <c r="AS1903" s="247"/>
      <c r="AT1903" s="247"/>
      <c r="AU1903" s="247"/>
      <c r="AW1903" s="116"/>
    </row>
    <row r="1904" spans="39:49" ht="24" customHeight="1">
      <c r="AM1904" s="247"/>
      <c r="AN1904" s="247"/>
      <c r="AO1904" s="247"/>
      <c r="AP1904" s="247"/>
      <c r="AQ1904" s="247"/>
      <c r="AR1904" s="247"/>
      <c r="AS1904" s="247"/>
      <c r="AT1904" s="247"/>
      <c r="AU1904" s="247"/>
      <c r="AW1904" s="116"/>
    </row>
    <row r="1905" spans="39:49" ht="13.5" customHeight="1">
      <c r="AM1905" s="247"/>
      <c r="AN1905" s="247"/>
      <c r="AO1905" s="247"/>
      <c r="AP1905" s="247"/>
      <c r="AQ1905" s="247"/>
      <c r="AR1905" s="247"/>
      <c r="AS1905" s="247"/>
      <c r="AT1905" s="247"/>
      <c r="AU1905" s="247"/>
      <c r="AW1905" s="116"/>
    </row>
    <row r="1906" spans="39:49" ht="24" customHeight="1">
      <c r="AM1906" s="247"/>
      <c r="AN1906" s="247"/>
      <c r="AO1906" s="247"/>
      <c r="AP1906" s="247"/>
      <c r="AQ1906" s="247"/>
      <c r="AR1906" s="247"/>
      <c r="AS1906" s="247"/>
      <c r="AT1906" s="247"/>
      <c r="AU1906" s="247"/>
      <c r="AW1906" s="116"/>
    </row>
    <row r="1907" spans="39:49" ht="13.5" customHeight="1">
      <c r="AM1907" s="247"/>
      <c r="AN1907" s="247"/>
      <c r="AO1907" s="247"/>
      <c r="AP1907" s="247"/>
      <c r="AQ1907" s="247"/>
      <c r="AR1907" s="247"/>
      <c r="AS1907" s="247"/>
      <c r="AT1907" s="247"/>
      <c r="AU1907" s="247"/>
      <c r="AW1907" s="116"/>
    </row>
    <row r="1908" spans="39:49" ht="24" customHeight="1">
      <c r="AM1908" s="247"/>
      <c r="AN1908" s="247"/>
      <c r="AO1908" s="247"/>
      <c r="AP1908" s="247"/>
      <c r="AQ1908" s="247"/>
      <c r="AR1908" s="247"/>
      <c r="AS1908" s="247"/>
      <c r="AT1908" s="247"/>
      <c r="AU1908" s="247"/>
      <c r="AW1908" s="116"/>
    </row>
    <row r="1909" spans="39:49" ht="13.5" customHeight="1">
      <c r="AM1909" s="247"/>
      <c r="AN1909" s="247"/>
      <c r="AO1909" s="247"/>
      <c r="AP1909" s="247"/>
      <c r="AQ1909" s="247"/>
      <c r="AR1909" s="247"/>
      <c r="AS1909" s="247"/>
      <c r="AT1909" s="247"/>
      <c r="AU1909" s="247"/>
      <c r="AW1909" s="116"/>
    </row>
    <row r="1910" spans="39:49" ht="24" customHeight="1">
      <c r="AM1910" s="247"/>
      <c r="AN1910" s="247"/>
      <c r="AO1910" s="247"/>
      <c r="AP1910" s="247"/>
      <c r="AQ1910" s="247"/>
      <c r="AR1910" s="247"/>
      <c r="AS1910" s="247"/>
      <c r="AT1910" s="247"/>
      <c r="AU1910" s="247"/>
      <c r="AW1910" s="116"/>
    </row>
    <row r="1911" spans="39:49" ht="13.5" customHeight="1">
      <c r="AM1911" s="247"/>
      <c r="AN1911" s="247"/>
      <c r="AO1911" s="247"/>
      <c r="AP1911" s="247"/>
      <c r="AQ1911" s="247"/>
      <c r="AR1911" s="247"/>
      <c r="AS1911" s="247"/>
      <c r="AT1911" s="247"/>
      <c r="AU1911" s="247"/>
      <c r="AW1911" s="116"/>
    </row>
    <row r="1912" spans="39:49" ht="24" customHeight="1">
      <c r="AM1912" s="247"/>
      <c r="AN1912" s="247"/>
      <c r="AO1912" s="247"/>
      <c r="AP1912" s="247"/>
      <c r="AQ1912" s="247"/>
      <c r="AR1912" s="247"/>
      <c r="AS1912" s="247"/>
      <c r="AT1912" s="247"/>
      <c r="AU1912" s="247"/>
      <c r="AW1912" s="116"/>
    </row>
    <row r="1913" spans="39:49" ht="13.5" customHeight="1">
      <c r="AM1913" s="247"/>
      <c r="AN1913" s="247"/>
      <c r="AO1913" s="247"/>
      <c r="AP1913" s="247"/>
      <c r="AQ1913" s="247"/>
      <c r="AR1913" s="247"/>
      <c r="AS1913" s="247"/>
      <c r="AT1913" s="247"/>
      <c r="AU1913" s="247"/>
      <c r="AW1913" s="116"/>
    </row>
    <row r="1914" spans="39:49" ht="24" customHeight="1">
      <c r="AM1914" s="247"/>
      <c r="AN1914" s="247"/>
      <c r="AO1914" s="247"/>
      <c r="AP1914" s="247"/>
      <c r="AQ1914" s="247"/>
      <c r="AR1914" s="247"/>
      <c r="AS1914" s="247"/>
      <c r="AT1914" s="247"/>
      <c r="AU1914" s="247"/>
      <c r="AW1914" s="116"/>
    </row>
    <row r="1915" spans="39:49" ht="13.5" customHeight="1">
      <c r="AM1915" s="247"/>
      <c r="AN1915" s="247"/>
      <c r="AO1915" s="247"/>
      <c r="AP1915" s="247"/>
      <c r="AQ1915" s="247"/>
      <c r="AR1915" s="247"/>
      <c r="AS1915" s="247"/>
      <c r="AT1915" s="247"/>
      <c r="AU1915" s="247"/>
      <c r="AW1915" s="116"/>
    </row>
    <row r="1916" spans="39:49" ht="24" customHeight="1">
      <c r="AM1916" s="247"/>
      <c r="AN1916" s="247"/>
      <c r="AO1916" s="247"/>
      <c r="AP1916" s="247"/>
      <c r="AQ1916" s="247"/>
      <c r="AR1916" s="247"/>
      <c r="AS1916" s="247"/>
      <c r="AT1916" s="247"/>
      <c r="AU1916" s="247"/>
      <c r="AW1916" s="116"/>
    </row>
    <row r="1917" spans="39:49" ht="13.5" customHeight="1">
      <c r="AM1917" s="247"/>
      <c r="AN1917" s="247"/>
      <c r="AO1917" s="247"/>
      <c r="AP1917" s="247"/>
      <c r="AQ1917" s="247"/>
      <c r="AR1917" s="247"/>
      <c r="AS1917" s="247"/>
      <c r="AT1917" s="247"/>
      <c r="AU1917" s="247"/>
      <c r="AW1917" s="116"/>
    </row>
    <row r="1918" spans="39:49" ht="24" customHeight="1">
      <c r="AM1918" s="247"/>
      <c r="AN1918" s="247"/>
      <c r="AO1918" s="247"/>
      <c r="AP1918" s="247"/>
      <c r="AQ1918" s="247"/>
      <c r="AR1918" s="247"/>
      <c r="AS1918" s="247"/>
      <c r="AT1918" s="247"/>
      <c r="AU1918" s="247"/>
      <c r="AW1918" s="116"/>
    </row>
    <row r="1919" spans="39:49" ht="13.5" customHeight="1">
      <c r="AM1919" s="247"/>
      <c r="AN1919" s="247"/>
      <c r="AO1919" s="247"/>
      <c r="AP1919" s="247"/>
      <c r="AQ1919" s="247"/>
      <c r="AR1919" s="247"/>
      <c r="AS1919" s="247"/>
      <c r="AT1919" s="247"/>
      <c r="AU1919" s="247"/>
      <c r="AW1919" s="116"/>
    </row>
    <row r="1920" spans="39:49" ht="24" customHeight="1">
      <c r="AM1920" s="247"/>
      <c r="AN1920" s="247"/>
      <c r="AO1920" s="247"/>
      <c r="AP1920" s="247"/>
      <c r="AQ1920" s="247"/>
      <c r="AR1920" s="247"/>
      <c r="AS1920" s="247"/>
      <c r="AT1920" s="247"/>
      <c r="AU1920" s="247"/>
      <c r="AW1920" s="116"/>
    </row>
    <row r="1921" spans="39:49" ht="13.5" customHeight="1">
      <c r="AM1921" s="247"/>
      <c r="AN1921" s="247"/>
      <c r="AO1921" s="247"/>
      <c r="AP1921" s="247"/>
      <c r="AQ1921" s="247"/>
      <c r="AR1921" s="247"/>
      <c r="AS1921" s="247"/>
      <c r="AT1921" s="247"/>
      <c r="AU1921" s="247"/>
      <c r="AW1921" s="116"/>
    </row>
    <row r="1922" spans="39:49" ht="24" customHeight="1">
      <c r="AM1922" s="247"/>
      <c r="AN1922" s="247"/>
      <c r="AO1922" s="247"/>
      <c r="AP1922" s="247"/>
      <c r="AQ1922" s="247"/>
      <c r="AR1922" s="247"/>
      <c r="AS1922" s="247"/>
      <c r="AT1922" s="247"/>
      <c r="AU1922" s="247"/>
      <c r="AW1922" s="116"/>
    </row>
    <row r="1923" spans="39:49" ht="13.5" customHeight="1">
      <c r="AM1923" s="247"/>
      <c r="AN1923" s="247"/>
      <c r="AO1923" s="247"/>
      <c r="AP1923" s="247"/>
      <c r="AQ1923" s="247"/>
      <c r="AR1923" s="247"/>
      <c r="AS1923" s="247"/>
      <c r="AT1923" s="247"/>
      <c r="AU1923" s="247"/>
      <c r="AW1923" s="116"/>
    </row>
    <row r="1924" spans="39:49" ht="24" customHeight="1">
      <c r="AM1924" s="247"/>
      <c r="AN1924" s="247"/>
      <c r="AO1924" s="247"/>
      <c r="AP1924" s="247"/>
      <c r="AQ1924" s="247"/>
      <c r="AR1924" s="247"/>
      <c r="AS1924" s="247"/>
      <c r="AT1924" s="247"/>
      <c r="AU1924" s="247"/>
      <c r="AW1924" s="116"/>
    </row>
    <row r="1925" spans="39:49" ht="13.5" customHeight="1">
      <c r="AM1925" s="247"/>
      <c r="AN1925" s="247"/>
      <c r="AO1925" s="247"/>
      <c r="AP1925" s="247"/>
      <c r="AQ1925" s="247"/>
      <c r="AR1925" s="247"/>
      <c r="AS1925" s="247"/>
      <c r="AT1925" s="247"/>
      <c r="AU1925" s="247"/>
      <c r="AW1925" s="116"/>
    </row>
    <row r="1926" spans="39:49" ht="24" customHeight="1">
      <c r="AM1926" s="247"/>
      <c r="AN1926" s="247"/>
      <c r="AO1926" s="247"/>
      <c r="AP1926" s="247"/>
      <c r="AQ1926" s="247"/>
      <c r="AR1926" s="247"/>
      <c r="AS1926" s="247"/>
      <c r="AT1926" s="247"/>
      <c r="AU1926" s="247"/>
      <c r="AW1926" s="116"/>
    </row>
    <row r="1927" spans="39:49" ht="13.5" customHeight="1">
      <c r="AM1927" s="247"/>
      <c r="AN1927" s="247"/>
      <c r="AO1927" s="247"/>
      <c r="AP1927" s="247"/>
      <c r="AQ1927" s="247"/>
      <c r="AR1927" s="247"/>
      <c r="AS1927" s="247"/>
      <c r="AT1927" s="247"/>
      <c r="AU1927" s="247"/>
      <c r="AW1927" s="116"/>
    </row>
    <row r="1928" spans="39:49" ht="24" customHeight="1">
      <c r="AM1928" s="247"/>
      <c r="AN1928" s="247"/>
      <c r="AO1928" s="247"/>
      <c r="AP1928" s="247"/>
      <c r="AQ1928" s="247"/>
      <c r="AR1928" s="247"/>
      <c r="AS1928" s="247"/>
      <c r="AT1928" s="247"/>
      <c r="AU1928" s="247"/>
      <c r="AW1928" s="116"/>
    </row>
    <row r="1929" spans="39:49" ht="13.5" customHeight="1">
      <c r="AM1929" s="247"/>
      <c r="AN1929" s="247"/>
      <c r="AO1929" s="247"/>
      <c r="AP1929" s="247"/>
      <c r="AQ1929" s="247"/>
      <c r="AR1929" s="247"/>
      <c r="AS1929" s="247"/>
      <c r="AT1929" s="247"/>
      <c r="AU1929" s="247"/>
      <c r="AW1929" s="116"/>
    </row>
    <row r="1930" spans="39:49" ht="24" customHeight="1">
      <c r="AM1930" s="247"/>
      <c r="AN1930" s="247"/>
      <c r="AO1930" s="247"/>
      <c r="AP1930" s="247"/>
      <c r="AQ1930" s="247"/>
      <c r="AR1930" s="247"/>
      <c r="AS1930" s="247"/>
      <c r="AT1930" s="247"/>
      <c r="AU1930" s="247"/>
      <c r="AW1930" s="116"/>
    </row>
    <row r="1931" spans="39:49" ht="13.5" customHeight="1">
      <c r="AM1931" s="247"/>
      <c r="AN1931" s="247"/>
      <c r="AO1931" s="247"/>
      <c r="AP1931" s="247"/>
      <c r="AQ1931" s="247"/>
      <c r="AR1931" s="247"/>
      <c r="AS1931" s="247"/>
      <c r="AT1931" s="247"/>
      <c r="AU1931" s="247"/>
      <c r="AW1931" s="116"/>
    </row>
    <row r="1932" spans="39:49" ht="24" customHeight="1">
      <c r="AM1932" s="247"/>
      <c r="AN1932" s="247"/>
      <c r="AO1932" s="247"/>
      <c r="AP1932" s="247"/>
      <c r="AQ1932" s="247"/>
      <c r="AR1932" s="247"/>
      <c r="AS1932" s="247"/>
      <c r="AT1932" s="247"/>
      <c r="AU1932" s="247"/>
      <c r="AW1932" s="116"/>
    </row>
    <row r="1933" spans="39:49" ht="13.5" customHeight="1">
      <c r="AM1933" s="247"/>
      <c r="AN1933" s="247"/>
      <c r="AO1933" s="247"/>
      <c r="AP1933" s="247"/>
      <c r="AQ1933" s="247"/>
      <c r="AR1933" s="247"/>
      <c r="AS1933" s="247"/>
      <c r="AT1933" s="247"/>
      <c r="AU1933" s="247"/>
      <c r="AW1933" s="116"/>
    </row>
    <row r="1934" spans="39:49" ht="24" customHeight="1">
      <c r="AM1934" s="247"/>
      <c r="AN1934" s="247"/>
      <c r="AO1934" s="247"/>
      <c r="AP1934" s="247"/>
      <c r="AQ1934" s="247"/>
      <c r="AR1934" s="247"/>
      <c r="AS1934" s="247"/>
      <c r="AT1934" s="247"/>
      <c r="AU1934" s="247"/>
      <c r="AW1934" s="116"/>
    </row>
    <row r="1935" spans="39:49" ht="13.5" customHeight="1">
      <c r="AM1935" s="247"/>
      <c r="AN1935" s="247"/>
      <c r="AO1935" s="247"/>
      <c r="AP1935" s="247"/>
      <c r="AQ1935" s="247"/>
      <c r="AR1935" s="247"/>
      <c r="AS1935" s="247"/>
      <c r="AT1935" s="247"/>
      <c r="AU1935" s="247"/>
      <c r="AW1935" s="116"/>
    </row>
    <row r="1936" spans="39:49" ht="24" customHeight="1">
      <c r="AM1936" s="247"/>
      <c r="AN1936" s="247"/>
      <c r="AO1936" s="247"/>
      <c r="AP1936" s="247"/>
      <c r="AQ1936" s="247"/>
      <c r="AR1936" s="247"/>
      <c r="AS1936" s="247"/>
      <c r="AT1936" s="247"/>
      <c r="AU1936" s="247"/>
      <c r="AW1936" s="116"/>
    </row>
    <row r="1937" spans="39:49" ht="13.5" customHeight="1">
      <c r="AM1937" s="247"/>
      <c r="AN1937" s="247"/>
      <c r="AO1937" s="247"/>
      <c r="AP1937" s="247"/>
      <c r="AQ1937" s="247"/>
      <c r="AR1937" s="247"/>
      <c r="AS1937" s="247"/>
      <c r="AT1937" s="247"/>
      <c r="AU1937" s="247"/>
      <c r="AW1937" s="116"/>
    </row>
    <row r="1938" spans="39:49" ht="24" customHeight="1">
      <c r="AM1938" s="247"/>
      <c r="AN1938" s="247"/>
      <c r="AO1938" s="247"/>
      <c r="AP1938" s="247"/>
      <c r="AQ1938" s="247"/>
      <c r="AR1938" s="247"/>
      <c r="AS1938" s="247"/>
      <c r="AT1938" s="247"/>
      <c r="AU1938" s="247"/>
      <c r="AW1938" s="116"/>
    </row>
    <row r="1939" spans="39:49" ht="13.5" customHeight="1">
      <c r="AM1939" s="247"/>
      <c r="AN1939" s="247"/>
      <c r="AO1939" s="247"/>
      <c r="AP1939" s="247"/>
      <c r="AQ1939" s="247"/>
      <c r="AR1939" s="247"/>
      <c r="AS1939" s="247"/>
      <c r="AT1939" s="247"/>
      <c r="AU1939" s="247"/>
      <c r="AW1939" s="116"/>
    </row>
    <row r="1940" spans="39:49" ht="24" customHeight="1">
      <c r="AM1940" s="247"/>
      <c r="AN1940" s="247"/>
      <c r="AO1940" s="247"/>
      <c r="AP1940" s="247"/>
      <c r="AQ1940" s="247"/>
      <c r="AR1940" s="247"/>
      <c r="AS1940" s="247"/>
      <c r="AT1940" s="247"/>
      <c r="AU1940" s="247"/>
      <c r="AW1940" s="116"/>
    </row>
    <row r="1941" spans="39:49" ht="13.5" customHeight="1">
      <c r="AM1941" s="247"/>
      <c r="AN1941" s="247"/>
      <c r="AO1941" s="247"/>
      <c r="AP1941" s="247"/>
      <c r="AQ1941" s="247"/>
      <c r="AR1941" s="247"/>
      <c r="AS1941" s="247"/>
      <c r="AT1941" s="247"/>
      <c r="AU1941" s="247"/>
      <c r="AW1941" s="116"/>
    </row>
    <row r="1942" spans="39:49" ht="24" customHeight="1">
      <c r="AM1942" s="247"/>
      <c r="AN1942" s="247"/>
      <c r="AO1942" s="247"/>
      <c r="AP1942" s="247"/>
      <c r="AQ1942" s="247"/>
      <c r="AR1942" s="247"/>
      <c r="AS1942" s="247"/>
      <c r="AT1942" s="247"/>
      <c r="AU1942" s="247"/>
      <c r="AW1942" s="116"/>
    </row>
    <row r="1943" spans="39:49" ht="13.5" customHeight="1">
      <c r="AM1943" s="247"/>
      <c r="AN1943" s="247"/>
      <c r="AO1943" s="247"/>
      <c r="AP1943" s="247"/>
      <c r="AQ1943" s="247"/>
      <c r="AR1943" s="247"/>
      <c r="AS1943" s="247"/>
      <c r="AT1943" s="247"/>
      <c r="AU1943" s="247"/>
      <c r="AW1943" s="116"/>
    </row>
    <row r="1944" spans="39:49" ht="30" customHeight="1">
      <c r="AM1944" s="247"/>
      <c r="AN1944" s="247"/>
      <c r="AO1944" s="247"/>
      <c r="AP1944" s="247"/>
      <c r="AQ1944" s="247"/>
      <c r="AR1944" s="247"/>
      <c r="AS1944" s="247"/>
      <c r="AT1944" s="247"/>
      <c r="AU1944" s="247"/>
      <c r="AW1944" s="116"/>
    </row>
    <row r="1945" spans="39:49" ht="19.5" customHeight="1">
      <c r="AM1945" s="247"/>
      <c r="AN1945" s="247"/>
      <c r="AO1945" s="247"/>
      <c r="AP1945" s="247"/>
      <c r="AQ1945" s="247"/>
      <c r="AR1945" s="247"/>
      <c r="AS1945" s="247"/>
      <c r="AT1945" s="247"/>
      <c r="AU1945" s="247"/>
      <c r="AW1945" s="116"/>
    </row>
    <row r="1946" spans="39:49" ht="24" customHeight="1">
      <c r="AM1946" s="247"/>
      <c r="AN1946" s="247"/>
      <c r="AO1946" s="247"/>
      <c r="AP1946" s="247"/>
      <c r="AQ1946" s="247"/>
      <c r="AR1946" s="247"/>
      <c r="AS1946" s="247"/>
      <c r="AT1946" s="247"/>
      <c r="AU1946" s="247"/>
      <c r="AW1946" s="116"/>
    </row>
    <row r="1947" spans="39:49" ht="13.5" customHeight="1">
      <c r="AM1947" s="247"/>
      <c r="AN1947" s="247"/>
      <c r="AO1947" s="247"/>
      <c r="AP1947" s="247"/>
      <c r="AQ1947" s="247"/>
      <c r="AR1947" s="247"/>
      <c r="AS1947" s="247"/>
      <c r="AT1947" s="247"/>
      <c r="AU1947" s="247"/>
      <c r="AW1947" s="116"/>
    </row>
    <row r="1948" spans="39:49" ht="24" customHeight="1">
      <c r="AM1948" s="247"/>
      <c r="AN1948" s="247"/>
      <c r="AO1948" s="247"/>
      <c r="AP1948" s="247"/>
      <c r="AQ1948" s="247"/>
      <c r="AR1948" s="247"/>
      <c r="AS1948" s="247"/>
      <c r="AT1948" s="247"/>
      <c r="AU1948" s="247"/>
      <c r="AW1948" s="116"/>
    </row>
    <row r="1949" spans="39:49" ht="13.5" customHeight="1">
      <c r="AM1949" s="247"/>
      <c r="AN1949" s="247"/>
      <c r="AO1949" s="247"/>
      <c r="AP1949" s="247"/>
      <c r="AQ1949" s="247"/>
      <c r="AR1949" s="247"/>
      <c r="AS1949" s="247"/>
      <c r="AT1949" s="247"/>
      <c r="AU1949" s="247"/>
      <c r="AW1949" s="116"/>
    </row>
    <row r="1950" spans="39:49" ht="24" customHeight="1">
      <c r="AM1950" s="247"/>
      <c r="AN1950" s="247"/>
      <c r="AO1950" s="247"/>
      <c r="AP1950" s="247"/>
      <c r="AQ1950" s="247"/>
      <c r="AR1950" s="247"/>
      <c r="AS1950" s="247"/>
      <c r="AT1950" s="247"/>
      <c r="AU1950" s="247"/>
      <c r="AW1950" s="116"/>
    </row>
    <row r="1951" spans="39:49" ht="13.5" customHeight="1">
      <c r="AM1951" s="247"/>
      <c r="AN1951" s="247"/>
      <c r="AO1951" s="247"/>
      <c r="AP1951" s="247"/>
      <c r="AQ1951" s="247"/>
      <c r="AR1951" s="247"/>
      <c r="AS1951" s="247"/>
      <c r="AT1951" s="247"/>
      <c r="AU1951" s="247"/>
      <c r="AW1951" s="116"/>
    </row>
    <row r="1952" spans="39:49" ht="24" customHeight="1">
      <c r="AM1952" s="247"/>
      <c r="AN1952" s="247"/>
      <c r="AO1952" s="247"/>
      <c r="AP1952" s="247"/>
      <c r="AQ1952" s="247"/>
      <c r="AR1952" s="247"/>
      <c r="AS1952" s="247"/>
      <c r="AT1952" s="247"/>
      <c r="AU1952" s="247"/>
      <c r="AW1952" s="116"/>
    </row>
    <row r="1953" spans="39:49" ht="13.5" customHeight="1">
      <c r="AM1953" s="247"/>
      <c r="AN1953" s="247"/>
      <c r="AO1953" s="247"/>
      <c r="AP1953" s="247"/>
      <c r="AQ1953" s="247"/>
      <c r="AR1953" s="247"/>
      <c r="AS1953" s="247"/>
      <c r="AT1953" s="247"/>
      <c r="AU1953" s="247"/>
      <c r="AW1953" s="116"/>
    </row>
    <row r="1954" spans="39:49" ht="24" customHeight="1">
      <c r="AM1954" s="247"/>
      <c r="AN1954" s="247"/>
      <c r="AO1954" s="247"/>
      <c r="AP1954" s="247"/>
      <c r="AQ1954" s="247"/>
      <c r="AR1954" s="247"/>
      <c r="AS1954" s="247"/>
      <c r="AT1954" s="247"/>
      <c r="AU1954" s="247"/>
      <c r="AW1954" s="116"/>
    </row>
    <row r="1955" spans="39:49" ht="13.5" customHeight="1">
      <c r="AM1955" s="247"/>
      <c r="AN1955" s="247"/>
      <c r="AO1955" s="247"/>
      <c r="AP1955" s="247"/>
      <c r="AQ1955" s="247"/>
      <c r="AR1955" s="247"/>
      <c r="AS1955" s="247"/>
      <c r="AT1955" s="247"/>
      <c r="AU1955" s="247"/>
      <c r="AW1955" s="116"/>
    </row>
    <row r="1956" spans="39:49" ht="24" customHeight="1">
      <c r="AM1956" s="247"/>
      <c r="AN1956" s="247"/>
      <c r="AO1956" s="247"/>
      <c r="AP1956" s="247"/>
      <c r="AQ1956" s="247"/>
      <c r="AR1956" s="247"/>
      <c r="AS1956" s="247"/>
      <c r="AT1956" s="247"/>
      <c r="AU1956" s="247"/>
      <c r="AW1956" s="116"/>
    </row>
    <row r="1957" spans="39:49" ht="13.5" customHeight="1">
      <c r="AM1957" s="247"/>
      <c r="AN1957" s="247"/>
      <c r="AO1957" s="247"/>
      <c r="AP1957" s="247"/>
      <c r="AQ1957" s="247"/>
      <c r="AR1957" s="247"/>
      <c r="AS1957" s="247"/>
      <c r="AT1957" s="247"/>
      <c r="AU1957" s="247"/>
      <c r="AW1957" s="116"/>
    </row>
    <row r="1958" spans="39:49" ht="24" customHeight="1">
      <c r="AM1958" s="247"/>
      <c r="AN1958" s="247"/>
      <c r="AO1958" s="247"/>
      <c r="AP1958" s="247"/>
      <c r="AQ1958" s="247"/>
      <c r="AR1958" s="247"/>
      <c r="AS1958" s="247"/>
      <c r="AT1958" s="247"/>
      <c r="AU1958" s="247"/>
      <c r="AW1958" s="116"/>
    </row>
    <row r="1959" spans="39:49" ht="13.5" customHeight="1">
      <c r="AM1959" s="247"/>
      <c r="AN1959" s="247"/>
      <c r="AO1959" s="247"/>
      <c r="AP1959" s="247"/>
      <c r="AQ1959" s="247"/>
      <c r="AR1959" s="247"/>
      <c r="AS1959" s="247"/>
      <c r="AT1959" s="247"/>
      <c r="AU1959" s="247"/>
      <c r="AW1959" s="116"/>
    </row>
    <row r="1960" spans="39:49" ht="24" customHeight="1">
      <c r="AM1960" s="247"/>
      <c r="AN1960" s="247"/>
      <c r="AO1960" s="247"/>
      <c r="AP1960" s="247"/>
      <c r="AQ1960" s="247"/>
      <c r="AR1960" s="247"/>
      <c r="AS1960" s="247"/>
      <c r="AT1960" s="247"/>
      <c r="AU1960" s="247"/>
      <c r="AW1960" s="116"/>
    </row>
    <row r="1961" spans="39:49" ht="13.5" customHeight="1">
      <c r="AM1961" s="247"/>
      <c r="AN1961" s="247"/>
      <c r="AO1961" s="247"/>
      <c r="AP1961" s="247"/>
      <c r="AQ1961" s="247"/>
      <c r="AR1961" s="247"/>
      <c r="AS1961" s="247"/>
      <c r="AT1961" s="247"/>
      <c r="AU1961" s="247"/>
      <c r="AW1961" s="116"/>
    </row>
    <row r="1962" spans="39:49" ht="24" customHeight="1">
      <c r="AM1962" s="247"/>
      <c r="AN1962" s="247"/>
      <c r="AO1962" s="247"/>
      <c r="AP1962" s="247"/>
      <c r="AQ1962" s="247"/>
      <c r="AR1962" s="247"/>
      <c r="AS1962" s="247"/>
      <c r="AT1962" s="247"/>
      <c r="AU1962" s="247"/>
      <c r="AW1962" s="116"/>
    </row>
    <row r="1963" spans="39:49" ht="13.5" customHeight="1">
      <c r="AM1963" s="247"/>
      <c r="AN1963" s="247"/>
      <c r="AO1963" s="247"/>
      <c r="AP1963" s="247"/>
      <c r="AQ1963" s="247"/>
      <c r="AR1963" s="247"/>
      <c r="AS1963" s="247"/>
      <c r="AT1963" s="247"/>
      <c r="AU1963" s="247"/>
      <c r="AW1963" s="116"/>
    </row>
    <row r="1964" spans="39:49" ht="24" customHeight="1">
      <c r="AM1964" s="247"/>
      <c r="AN1964" s="247"/>
      <c r="AO1964" s="247"/>
      <c r="AP1964" s="247"/>
      <c r="AQ1964" s="247"/>
      <c r="AR1964" s="247"/>
      <c r="AS1964" s="247"/>
      <c r="AT1964" s="247"/>
      <c r="AU1964" s="247"/>
      <c r="AW1964" s="116"/>
    </row>
    <row r="1965" spans="39:49" ht="13.5" customHeight="1">
      <c r="AM1965" s="247"/>
      <c r="AN1965" s="247"/>
      <c r="AO1965" s="247"/>
      <c r="AP1965" s="247"/>
      <c r="AQ1965" s="247"/>
      <c r="AR1965" s="247"/>
      <c r="AS1965" s="247"/>
      <c r="AT1965" s="247"/>
      <c r="AU1965" s="247"/>
      <c r="AW1965" s="116"/>
    </row>
    <row r="1966" spans="39:49" ht="24" customHeight="1">
      <c r="AM1966" s="247"/>
      <c r="AN1966" s="247"/>
      <c r="AO1966" s="247"/>
      <c r="AP1966" s="247"/>
      <c r="AQ1966" s="247"/>
      <c r="AR1966" s="247"/>
      <c r="AS1966" s="247"/>
      <c r="AT1966" s="247"/>
      <c r="AU1966" s="247"/>
      <c r="AW1966" s="116"/>
    </row>
    <row r="1967" spans="39:49" ht="13.5" customHeight="1">
      <c r="AM1967" s="247"/>
      <c r="AN1967" s="247"/>
      <c r="AO1967" s="247"/>
      <c r="AP1967" s="247"/>
      <c r="AQ1967" s="247"/>
      <c r="AR1967" s="247"/>
      <c r="AS1967" s="247"/>
      <c r="AT1967" s="247"/>
      <c r="AU1967" s="247"/>
      <c r="AW1967" s="116"/>
    </row>
    <row r="1968" spans="39:49" ht="24" customHeight="1">
      <c r="AM1968" s="247"/>
      <c r="AN1968" s="247"/>
      <c r="AO1968" s="247"/>
      <c r="AP1968" s="247"/>
      <c r="AQ1968" s="247"/>
      <c r="AR1968" s="247"/>
      <c r="AS1968" s="247"/>
      <c r="AT1968" s="247"/>
      <c r="AU1968" s="247"/>
      <c r="AW1968" s="116"/>
    </row>
    <row r="1969" spans="39:49" ht="13.5" customHeight="1">
      <c r="AM1969" s="247"/>
      <c r="AN1969" s="247"/>
      <c r="AO1969" s="247"/>
      <c r="AP1969" s="247"/>
      <c r="AQ1969" s="247"/>
      <c r="AR1969" s="247"/>
      <c r="AS1969" s="247"/>
      <c r="AT1969" s="247"/>
      <c r="AU1969" s="247"/>
      <c r="AW1969" s="116"/>
    </row>
    <row r="1970" spans="39:49" ht="24" customHeight="1">
      <c r="AM1970" s="247"/>
      <c r="AN1970" s="247"/>
      <c r="AO1970" s="247"/>
      <c r="AP1970" s="247"/>
      <c r="AQ1970" s="247"/>
      <c r="AR1970" s="247"/>
      <c r="AS1970" s="247"/>
      <c r="AT1970" s="247"/>
      <c r="AU1970" s="247"/>
      <c r="AW1970" s="116"/>
    </row>
    <row r="1971" spans="39:49" ht="13.5" customHeight="1">
      <c r="AM1971" s="247"/>
      <c r="AN1971" s="247"/>
      <c r="AO1971" s="247"/>
      <c r="AP1971" s="247"/>
      <c r="AQ1971" s="247"/>
      <c r="AR1971" s="247"/>
      <c r="AS1971" s="247"/>
      <c r="AT1971" s="247"/>
      <c r="AU1971" s="247"/>
      <c r="AW1971" s="116"/>
    </row>
    <row r="1972" spans="39:49" ht="24" customHeight="1">
      <c r="AM1972" s="247"/>
      <c r="AN1972" s="247"/>
      <c r="AO1972" s="247"/>
      <c r="AP1972" s="247"/>
      <c r="AQ1972" s="247"/>
      <c r="AR1972" s="247"/>
      <c r="AS1972" s="247"/>
      <c r="AT1972" s="247"/>
      <c r="AU1972" s="247"/>
      <c r="AW1972" s="116"/>
    </row>
    <row r="1973" spans="39:49" ht="13.5" customHeight="1">
      <c r="AM1973" s="247"/>
      <c r="AN1973" s="247"/>
      <c r="AO1973" s="247"/>
      <c r="AP1973" s="247"/>
      <c r="AQ1973" s="247"/>
      <c r="AR1973" s="247"/>
      <c r="AS1973" s="247"/>
      <c r="AT1973" s="247"/>
      <c r="AU1973" s="247"/>
      <c r="AW1973" s="116"/>
    </row>
    <row r="1974" spans="39:49" ht="24" customHeight="1">
      <c r="AM1974" s="247"/>
      <c r="AN1974" s="247"/>
      <c r="AO1974" s="247"/>
      <c r="AP1974" s="247"/>
      <c r="AQ1974" s="247"/>
      <c r="AR1974" s="247"/>
      <c r="AS1974" s="247"/>
      <c r="AT1974" s="247"/>
      <c r="AU1974" s="247"/>
      <c r="AW1974" s="116"/>
    </row>
    <row r="1975" spans="39:49" ht="13.5" customHeight="1">
      <c r="AM1975" s="247"/>
      <c r="AN1975" s="247"/>
      <c r="AO1975" s="247"/>
      <c r="AP1975" s="247"/>
      <c r="AQ1975" s="247"/>
      <c r="AR1975" s="247"/>
      <c r="AS1975" s="247"/>
      <c r="AT1975" s="247"/>
      <c r="AU1975" s="247"/>
      <c r="AW1975" s="116"/>
    </row>
    <row r="1976" spans="39:49" ht="38.25" customHeight="1">
      <c r="AM1976" s="247"/>
      <c r="AN1976" s="247"/>
      <c r="AO1976" s="247"/>
      <c r="AP1976" s="247"/>
      <c r="AQ1976" s="247"/>
      <c r="AR1976" s="247"/>
      <c r="AS1976" s="247"/>
      <c r="AT1976" s="247"/>
      <c r="AU1976" s="247"/>
      <c r="AW1976" s="116"/>
    </row>
    <row r="1977" spans="39:49" ht="13.5" customHeight="1">
      <c r="AM1977" s="247"/>
      <c r="AN1977" s="247"/>
      <c r="AO1977" s="247"/>
      <c r="AP1977" s="247"/>
      <c r="AQ1977" s="247"/>
      <c r="AR1977" s="247"/>
      <c r="AS1977" s="247"/>
      <c r="AT1977" s="247"/>
      <c r="AU1977" s="247"/>
      <c r="AW1977" s="116"/>
    </row>
    <row r="1978" spans="39:49" ht="24" customHeight="1">
      <c r="AM1978" s="247"/>
      <c r="AN1978" s="247"/>
      <c r="AO1978" s="247"/>
      <c r="AP1978" s="247"/>
      <c r="AQ1978" s="247"/>
      <c r="AR1978" s="247"/>
      <c r="AS1978" s="247"/>
      <c r="AT1978" s="247"/>
      <c r="AU1978" s="247"/>
      <c r="AW1978" s="116"/>
    </row>
    <row r="1979" spans="39:49" ht="13.5" customHeight="1">
      <c r="AM1979" s="247"/>
      <c r="AN1979" s="247"/>
      <c r="AO1979" s="247"/>
      <c r="AP1979" s="247"/>
      <c r="AQ1979" s="247"/>
      <c r="AR1979" s="247"/>
      <c r="AS1979" s="247"/>
      <c r="AT1979" s="247"/>
      <c r="AU1979" s="247"/>
      <c r="AW1979" s="116"/>
    </row>
    <row r="1980" spans="39:49" ht="24" customHeight="1">
      <c r="AM1980" s="247"/>
      <c r="AN1980" s="247"/>
      <c r="AO1980" s="247"/>
      <c r="AP1980" s="247"/>
      <c r="AQ1980" s="247"/>
      <c r="AR1980" s="247"/>
      <c r="AS1980" s="247"/>
      <c r="AT1980" s="247"/>
      <c r="AU1980" s="247"/>
      <c r="AW1980" s="116"/>
    </row>
    <row r="1981" spans="39:49" ht="13.5" customHeight="1">
      <c r="AM1981" s="247"/>
      <c r="AN1981" s="247"/>
      <c r="AO1981" s="247"/>
      <c r="AP1981" s="247"/>
      <c r="AQ1981" s="247"/>
      <c r="AR1981" s="247"/>
      <c r="AS1981" s="247"/>
      <c r="AT1981" s="247"/>
      <c r="AU1981" s="247"/>
      <c r="AW1981" s="116"/>
    </row>
    <row r="1982" spans="39:49" ht="24" customHeight="1">
      <c r="AM1982" s="247"/>
      <c r="AN1982" s="247"/>
      <c r="AO1982" s="247"/>
      <c r="AP1982" s="247"/>
      <c r="AQ1982" s="247"/>
      <c r="AR1982" s="247"/>
      <c r="AS1982" s="247"/>
      <c r="AT1982" s="247"/>
      <c r="AU1982" s="247"/>
      <c r="AW1982" s="116"/>
    </row>
    <row r="1983" spans="39:49" ht="13.5" customHeight="1">
      <c r="AM1983" s="247"/>
      <c r="AN1983" s="247"/>
      <c r="AO1983" s="247"/>
      <c r="AP1983" s="247"/>
      <c r="AQ1983" s="247"/>
      <c r="AR1983" s="247"/>
      <c r="AS1983" s="247"/>
      <c r="AT1983" s="247"/>
      <c r="AU1983" s="247"/>
      <c r="AW1983" s="116"/>
    </row>
    <row r="1984" spans="39:49" ht="24" customHeight="1">
      <c r="AM1984" s="247"/>
      <c r="AN1984" s="247"/>
      <c r="AO1984" s="247"/>
      <c r="AP1984" s="247"/>
      <c r="AQ1984" s="247"/>
      <c r="AR1984" s="247"/>
      <c r="AS1984" s="247"/>
      <c r="AT1984" s="247"/>
      <c r="AU1984" s="247"/>
      <c r="AW1984" s="116"/>
    </row>
    <row r="1985" spans="39:49" ht="13.5" customHeight="1">
      <c r="AM1985" s="247"/>
      <c r="AN1985" s="247"/>
      <c r="AO1985" s="247"/>
      <c r="AP1985" s="247"/>
      <c r="AQ1985" s="247"/>
      <c r="AR1985" s="247"/>
      <c r="AS1985" s="247"/>
      <c r="AT1985" s="247"/>
      <c r="AU1985" s="247"/>
      <c r="AW1985" s="116"/>
    </row>
    <row r="1986" spans="39:49" ht="24" customHeight="1">
      <c r="AM1986" s="247"/>
      <c r="AN1986" s="247"/>
      <c r="AO1986" s="247"/>
      <c r="AP1986" s="247"/>
      <c r="AQ1986" s="247"/>
      <c r="AR1986" s="247"/>
      <c r="AS1986" s="247"/>
      <c r="AT1986" s="247"/>
      <c r="AU1986" s="247"/>
      <c r="AW1986" s="116"/>
    </row>
    <row r="1987" spans="39:49" ht="13.5" customHeight="1">
      <c r="AM1987" s="247"/>
      <c r="AN1987" s="247"/>
      <c r="AO1987" s="247"/>
      <c r="AP1987" s="247"/>
      <c r="AQ1987" s="247"/>
      <c r="AR1987" s="247"/>
      <c r="AS1987" s="247"/>
      <c r="AT1987" s="247"/>
      <c r="AU1987" s="247"/>
      <c r="AW1987" s="116"/>
    </row>
    <row r="1988" spans="39:49" ht="24" customHeight="1">
      <c r="AM1988" s="247"/>
      <c r="AN1988" s="247"/>
      <c r="AO1988" s="247"/>
      <c r="AP1988" s="247"/>
      <c r="AQ1988" s="247"/>
      <c r="AR1988" s="247"/>
      <c r="AS1988" s="247"/>
      <c r="AT1988" s="247"/>
      <c r="AU1988" s="247"/>
      <c r="AW1988" s="116"/>
    </row>
    <row r="1989" spans="39:49" ht="13.5" customHeight="1">
      <c r="AM1989" s="247"/>
      <c r="AN1989" s="247"/>
      <c r="AO1989" s="247"/>
      <c r="AP1989" s="247"/>
      <c r="AQ1989" s="247"/>
      <c r="AR1989" s="247"/>
      <c r="AS1989" s="247"/>
      <c r="AT1989" s="247"/>
      <c r="AU1989" s="247"/>
      <c r="AW1989" s="116"/>
    </row>
    <row r="1990" spans="39:49" ht="24" customHeight="1">
      <c r="AM1990" s="247"/>
      <c r="AN1990" s="247"/>
      <c r="AO1990" s="247"/>
      <c r="AP1990" s="247"/>
      <c r="AQ1990" s="247"/>
      <c r="AR1990" s="247"/>
      <c r="AS1990" s="247"/>
      <c r="AT1990" s="247"/>
      <c r="AU1990" s="247"/>
      <c r="AW1990" s="116"/>
    </row>
    <row r="1991" spans="39:49" ht="13.5" customHeight="1">
      <c r="AM1991" s="247"/>
      <c r="AN1991" s="247"/>
      <c r="AO1991" s="247"/>
      <c r="AP1991" s="247"/>
      <c r="AQ1991" s="247"/>
      <c r="AR1991" s="247"/>
      <c r="AS1991" s="247"/>
      <c r="AT1991" s="247"/>
      <c r="AU1991" s="247"/>
      <c r="AW1991" s="116"/>
    </row>
    <row r="1992" spans="39:49" ht="24" customHeight="1">
      <c r="AM1992" s="247"/>
      <c r="AN1992" s="247"/>
      <c r="AO1992" s="247"/>
      <c r="AP1992" s="247"/>
      <c r="AQ1992" s="247"/>
      <c r="AR1992" s="247"/>
      <c r="AS1992" s="247"/>
      <c r="AT1992" s="247"/>
      <c r="AU1992" s="247"/>
      <c r="AW1992" s="116"/>
    </row>
    <row r="1993" spans="39:49" ht="13.5" customHeight="1">
      <c r="AM1993" s="247"/>
      <c r="AN1993" s="247"/>
      <c r="AO1993" s="247"/>
      <c r="AP1993" s="247"/>
      <c r="AQ1993" s="247"/>
      <c r="AR1993" s="247"/>
      <c r="AS1993" s="247"/>
      <c r="AT1993" s="247"/>
      <c r="AU1993" s="247"/>
      <c r="AW1993" s="116"/>
    </row>
    <row r="1994" spans="39:49" ht="24" customHeight="1">
      <c r="AM1994" s="247"/>
      <c r="AN1994" s="247"/>
      <c r="AO1994" s="247"/>
      <c r="AP1994" s="247"/>
      <c r="AQ1994" s="247"/>
      <c r="AR1994" s="247"/>
      <c r="AS1994" s="247"/>
      <c r="AT1994" s="247"/>
      <c r="AU1994" s="247"/>
      <c r="AW1994" s="116"/>
    </row>
    <row r="1995" spans="39:49" ht="13.5" customHeight="1">
      <c r="AM1995" s="247"/>
      <c r="AN1995" s="247"/>
      <c r="AO1995" s="247"/>
      <c r="AP1995" s="247"/>
      <c r="AQ1995" s="247"/>
      <c r="AR1995" s="247"/>
      <c r="AS1995" s="247"/>
      <c r="AT1995" s="247"/>
      <c r="AU1995" s="247"/>
      <c r="AW1995" s="116"/>
    </row>
    <row r="1996" spans="39:49" ht="24" customHeight="1">
      <c r="AM1996" s="247"/>
      <c r="AN1996" s="247"/>
      <c r="AO1996" s="247"/>
      <c r="AP1996" s="247"/>
      <c r="AQ1996" s="247"/>
      <c r="AR1996" s="247"/>
      <c r="AS1996" s="247"/>
      <c r="AT1996" s="247"/>
      <c r="AU1996" s="247"/>
      <c r="AW1996" s="116"/>
    </row>
    <row r="1997" spans="39:49" ht="13.5" customHeight="1">
      <c r="AM1997" s="247"/>
      <c r="AN1997" s="247"/>
      <c r="AO1997" s="247"/>
      <c r="AP1997" s="247"/>
      <c r="AQ1997" s="247"/>
      <c r="AR1997" s="247"/>
      <c r="AS1997" s="247"/>
      <c r="AT1997" s="247"/>
      <c r="AU1997" s="247"/>
      <c r="AW1997" s="116"/>
    </row>
    <row r="1998" spans="39:49" ht="24" customHeight="1">
      <c r="AM1998" s="247"/>
      <c r="AN1998" s="247"/>
      <c r="AO1998" s="247"/>
      <c r="AP1998" s="247"/>
      <c r="AQ1998" s="247"/>
      <c r="AR1998" s="247"/>
      <c r="AS1998" s="247"/>
      <c r="AT1998" s="247"/>
      <c r="AU1998" s="247"/>
      <c r="AW1998" s="116"/>
    </row>
    <row r="1999" spans="39:49" ht="13.5" customHeight="1">
      <c r="AM1999" s="247"/>
      <c r="AN1999" s="247"/>
      <c r="AO1999" s="247"/>
      <c r="AP1999" s="247"/>
      <c r="AQ1999" s="247"/>
      <c r="AR1999" s="247"/>
      <c r="AS1999" s="247"/>
      <c r="AT1999" s="247"/>
      <c r="AU1999" s="247"/>
      <c r="AW1999" s="116"/>
    </row>
    <row r="2000" spans="39:49" ht="24" customHeight="1">
      <c r="AM2000" s="247"/>
      <c r="AN2000" s="247"/>
      <c r="AO2000" s="247"/>
      <c r="AP2000" s="247"/>
      <c r="AQ2000" s="247"/>
      <c r="AR2000" s="247"/>
      <c r="AS2000" s="247"/>
      <c r="AT2000" s="247"/>
      <c r="AU2000" s="247"/>
      <c r="AW2000" s="116"/>
    </row>
    <row r="2001" spans="39:49" ht="13.5" customHeight="1">
      <c r="AM2001" s="247"/>
      <c r="AN2001" s="247"/>
      <c r="AO2001" s="247"/>
      <c r="AP2001" s="247"/>
      <c r="AQ2001" s="247"/>
      <c r="AR2001" s="247"/>
      <c r="AS2001" s="247"/>
      <c r="AT2001" s="247"/>
      <c r="AU2001" s="247"/>
      <c r="AW2001" s="116"/>
    </row>
    <row r="2002" spans="39:49" ht="24" customHeight="1">
      <c r="AM2002" s="247"/>
      <c r="AN2002" s="247"/>
      <c r="AO2002" s="247"/>
      <c r="AP2002" s="247"/>
      <c r="AQ2002" s="247"/>
      <c r="AR2002" s="247"/>
      <c r="AS2002" s="247"/>
      <c r="AT2002" s="247"/>
      <c r="AU2002" s="247"/>
      <c r="AW2002" s="116"/>
    </row>
    <row r="2003" spans="39:49" ht="13.5" customHeight="1">
      <c r="AM2003" s="247"/>
      <c r="AN2003" s="247"/>
      <c r="AO2003" s="247"/>
      <c r="AP2003" s="247"/>
      <c r="AQ2003" s="247"/>
      <c r="AR2003" s="247"/>
      <c r="AS2003" s="247"/>
      <c r="AT2003" s="247"/>
      <c r="AU2003" s="247"/>
      <c r="AW2003" s="116"/>
    </row>
    <row r="2004" spans="39:49" ht="24" customHeight="1">
      <c r="AM2004" s="247"/>
      <c r="AN2004" s="247"/>
      <c r="AO2004" s="247"/>
      <c r="AP2004" s="247"/>
      <c r="AQ2004" s="247"/>
      <c r="AR2004" s="247"/>
      <c r="AS2004" s="247"/>
      <c r="AT2004" s="247"/>
      <c r="AU2004" s="247"/>
      <c r="AW2004" s="116"/>
    </row>
    <row r="2005" spans="39:49" ht="13.5" customHeight="1">
      <c r="AM2005" s="247"/>
      <c r="AN2005" s="247"/>
      <c r="AO2005" s="247"/>
      <c r="AP2005" s="247"/>
      <c r="AQ2005" s="247"/>
      <c r="AR2005" s="247"/>
      <c r="AS2005" s="247"/>
      <c r="AT2005" s="247"/>
      <c r="AU2005" s="247"/>
      <c r="AW2005" s="116"/>
    </row>
    <row r="2006" spans="39:49" ht="24" customHeight="1">
      <c r="AM2006" s="247"/>
      <c r="AN2006" s="247"/>
      <c r="AO2006" s="247"/>
      <c r="AP2006" s="247"/>
      <c r="AQ2006" s="247"/>
      <c r="AR2006" s="247"/>
      <c r="AS2006" s="247"/>
      <c r="AT2006" s="247"/>
      <c r="AU2006" s="247"/>
      <c r="AW2006" s="116"/>
    </row>
    <row r="2007" spans="39:49" ht="13.5" customHeight="1">
      <c r="AM2007" s="247"/>
      <c r="AN2007" s="247"/>
      <c r="AO2007" s="247"/>
      <c r="AP2007" s="247"/>
      <c r="AQ2007" s="247"/>
      <c r="AR2007" s="247"/>
      <c r="AS2007" s="247"/>
      <c r="AT2007" s="247"/>
      <c r="AU2007" s="247"/>
      <c r="AW2007" s="116"/>
    </row>
    <row r="2008" spans="39:49" ht="24" customHeight="1">
      <c r="AM2008" s="247"/>
      <c r="AN2008" s="247"/>
      <c r="AO2008" s="247"/>
      <c r="AP2008" s="247"/>
      <c r="AQ2008" s="247"/>
      <c r="AR2008" s="247"/>
      <c r="AS2008" s="247"/>
      <c r="AT2008" s="247"/>
      <c r="AU2008" s="247"/>
      <c r="AW2008" s="116"/>
    </row>
    <row r="2009" spans="39:49" ht="13.5" customHeight="1">
      <c r="AM2009" s="247"/>
      <c r="AN2009" s="247"/>
      <c r="AO2009" s="247"/>
      <c r="AP2009" s="247"/>
      <c r="AQ2009" s="247"/>
      <c r="AR2009" s="247"/>
      <c r="AS2009" s="247"/>
      <c r="AT2009" s="247"/>
      <c r="AU2009" s="247"/>
      <c r="AW2009" s="116"/>
    </row>
    <row r="2010" spans="39:49" ht="24" customHeight="1">
      <c r="AM2010" s="247"/>
      <c r="AN2010" s="247"/>
      <c r="AO2010" s="247"/>
      <c r="AP2010" s="247"/>
      <c r="AQ2010" s="247"/>
      <c r="AR2010" s="247"/>
      <c r="AS2010" s="247"/>
      <c r="AT2010" s="247"/>
      <c r="AU2010" s="247"/>
      <c r="AW2010" s="116"/>
    </row>
    <row r="2011" spans="39:49" ht="13.5" customHeight="1">
      <c r="AM2011" s="247"/>
      <c r="AN2011" s="247"/>
      <c r="AO2011" s="247"/>
      <c r="AP2011" s="247"/>
      <c r="AQ2011" s="247"/>
      <c r="AR2011" s="247"/>
      <c r="AS2011" s="247"/>
      <c r="AT2011" s="247"/>
      <c r="AU2011" s="247"/>
      <c r="AW2011" s="116"/>
    </row>
    <row r="2012" spans="39:49" ht="24" customHeight="1">
      <c r="AM2012" s="247"/>
      <c r="AN2012" s="247"/>
      <c r="AO2012" s="247"/>
      <c r="AP2012" s="247"/>
      <c r="AQ2012" s="247"/>
      <c r="AR2012" s="247"/>
      <c r="AS2012" s="247"/>
      <c r="AT2012" s="247"/>
      <c r="AU2012" s="247"/>
      <c r="AW2012" s="116"/>
    </row>
    <row r="2013" spans="39:49" ht="13.5" customHeight="1">
      <c r="AM2013" s="247"/>
      <c r="AN2013" s="247"/>
      <c r="AO2013" s="247"/>
      <c r="AP2013" s="247"/>
      <c r="AQ2013" s="247"/>
      <c r="AR2013" s="247"/>
      <c r="AS2013" s="247"/>
      <c r="AT2013" s="247"/>
      <c r="AU2013" s="247"/>
      <c r="AW2013" s="116"/>
    </row>
    <row r="2014" spans="39:49" ht="24" customHeight="1">
      <c r="AM2014" s="247"/>
      <c r="AN2014" s="247"/>
      <c r="AO2014" s="247"/>
      <c r="AP2014" s="247"/>
      <c r="AQ2014" s="247"/>
      <c r="AR2014" s="247"/>
      <c r="AS2014" s="247"/>
      <c r="AT2014" s="247"/>
      <c r="AU2014" s="247"/>
      <c r="AW2014" s="116"/>
    </row>
    <row r="2015" spans="39:49" ht="13.5" customHeight="1">
      <c r="AM2015" s="247"/>
      <c r="AN2015" s="247"/>
      <c r="AO2015" s="247"/>
      <c r="AP2015" s="247"/>
      <c r="AQ2015" s="247"/>
      <c r="AR2015" s="247"/>
      <c r="AS2015" s="247"/>
      <c r="AT2015" s="247"/>
      <c r="AU2015" s="247"/>
      <c r="AW2015" s="116"/>
    </row>
    <row r="2016" spans="39:49" ht="24" customHeight="1">
      <c r="AM2016" s="247"/>
      <c r="AN2016" s="247"/>
      <c r="AO2016" s="247"/>
      <c r="AP2016" s="247"/>
      <c r="AQ2016" s="247"/>
      <c r="AR2016" s="247"/>
      <c r="AS2016" s="247"/>
      <c r="AT2016" s="247"/>
      <c r="AU2016" s="247"/>
      <c r="AW2016" s="116"/>
    </row>
    <row r="2017" spans="39:49" ht="13.5" customHeight="1">
      <c r="AM2017" s="247"/>
      <c r="AN2017" s="247"/>
      <c r="AO2017" s="247"/>
      <c r="AP2017" s="247"/>
      <c r="AQ2017" s="247"/>
      <c r="AR2017" s="247"/>
      <c r="AS2017" s="247"/>
      <c r="AT2017" s="247"/>
      <c r="AU2017" s="247"/>
      <c r="AW2017" s="116"/>
    </row>
    <row r="2018" spans="39:49" ht="24" customHeight="1">
      <c r="AM2018" s="247"/>
      <c r="AN2018" s="247"/>
      <c r="AO2018" s="247"/>
      <c r="AP2018" s="247"/>
      <c r="AQ2018" s="247"/>
      <c r="AR2018" s="247"/>
      <c r="AS2018" s="247"/>
      <c r="AT2018" s="247"/>
      <c r="AU2018" s="247"/>
      <c r="AW2018" s="116"/>
    </row>
    <row r="2019" spans="39:49" ht="13.5" customHeight="1">
      <c r="AM2019" s="247"/>
      <c r="AN2019" s="247"/>
      <c r="AO2019" s="247"/>
      <c r="AP2019" s="247"/>
      <c r="AQ2019" s="247"/>
      <c r="AR2019" s="247"/>
      <c r="AS2019" s="247"/>
      <c r="AT2019" s="247"/>
      <c r="AU2019" s="247"/>
      <c r="AW2019" s="116"/>
    </row>
    <row r="2020" spans="39:49" ht="24" customHeight="1">
      <c r="AM2020" s="247"/>
      <c r="AN2020" s="247"/>
      <c r="AO2020" s="247"/>
      <c r="AP2020" s="247"/>
      <c r="AQ2020" s="247"/>
      <c r="AR2020" s="247"/>
      <c r="AS2020" s="247"/>
      <c r="AT2020" s="247"/>
      <c r="AU2020" s="247"/>
      <c r="AW2020" s="116"/>
    </row>
    <row r="2021" spans="39:49" ht="13.5" customHeight="1">
      <c r="AM2021" s="247"/>
      <c r="AN2021" s="247"/>
      <c r="AO2021" s="247"/>
      <c r="AP2021" s="247"/>
      <c r="AQ2021" s="247"/>
      <c r="AR2021" s="247"/>
      <c r="AS2021" s="247"/>
      <c r="AT2021" s="247"/>
      <c r="AU2021" s="247"/>
      <c r="AW2021" s="116"/>
    </row>
    <row r="2022" spans="39:49" ht="24" customHeight="1">
      <c r="AM2022" s="247"/>
      <c r="AN2022" s="247"/>
      <c r="AO2022" s="247"/>
      <c r="AP2022" s="247"/>
      <c r="AQ2022" s="247"/>
      <c r="AR2022" s="247"/>
      <c r="AS2022" s="247"/>
      <c r="AT2022" s="247"/>
      <c r="AU2022" s="247"/>
      <c r="AW2022" s="116"/>
    </row>
    <row r="2023" spans="39:49" ht="13.5" customHeight="1">
      <c r="AM2023" s="247"/>
      <c r="AN2023" s="247"/>
      <c r="AO2023" s="247"/>
      <c r="AP2023" s="247"/>
      <c r="AQ2023" s="247"/>
      <c r="AR2023" s="247"/>
      <c r="AS2023" s="247"/>
      <c r="AT2023" s="247"/>
      <c r="AU2023" s="247"/>
      <c r="AW2023" s="116"/>
    </row>
    <row r="2024" spans="39:49" ht="24" customHeight="1">
      <c r="AM2024" s="247"/>
      <c r="AN2024" s="247"/>
      <c r="AO2024" s="247"/>
      <c r="AP2024" s="247"/>
      <c r="AQ2024" s="247"/>
      <c r="AR2024" s="247"/>
      <c r="AS2024" s="247"/>
      <c r="AT2024" s="247"/>
      <c r="AU2024" s="247"/>
      <c r="AW2024" s="116"/>
    </row>
    <row r="2025" spans="39:49" ht="13.5" customHeight="1">
      <c r="AM2025" s="247"/>
      <c r="AN2025" s="247"/>
      <c r="AO2025" s="247"/>
      <c r="AP2025" s="247"/>
      <c r="AQ2025" s="247"/>
      <c r="AR2025" s="247"/>
      <c r="AS2025" s="247"/>
      <c r="AT2025" s="247"/>
      <c r="AU2025" s="247"/>
      <c r="AW2025" s="116"/>
    </row>
    <row r="2026" spans="39:49" ht="24" customHeight="1">
      <c r="AM2026" s="247"/>
      <c r="AN2026" s="247"/>
      <c r="AO2026" s="247"/>
      <c r="AP2026" s="247"/>
      <c r="AQ2026" s="247"/>
      <c r="AR2026" s="247"/>
      <c r="AS2026" s="247"/>
      <c r="AT2026" s="247"/>
      <c r="AU2026" s="247"/>
      <c r="AW2026" s="116"/>
    </row>
    <row r="2027" spans="39:49" ht="13.5" customHeight="1">
      <c r="AM2027" s="247"/>
      <c r="AN2027" s="247"/>
      <c r="AO2027" s="247"/>
      <c r="AP2027" s="247"/>
      <c r="AQ2027" s="247"/>
      <c r="AR2027" s="247"/>
      <c r="AS2027" s="247"/>
      <c r="AT2027" s="247"/>
      <c r="AU2027" s="247"/>
      <c r="AW2027" s="116"/>
    </row>
    <row r="2028" spans="39:49" ht="24" customHeight="1">
      <c r="AM2028" s="247"/>
      <c r="AN2028" s="247"/>
      <c r="AO2028" s="247"/>
      <c r="AP2028" s="247"/>
      <c r="AQ2028" s="247"/>
      <c r="AR2028" s="247"/>
      <c r="AS2028" s="247"/>
      <c r="AT2028" s="247"/>
      <c r="AU2028" s="247"/>
      <c r="AW2028" s="116"/>
    </row>
    <row r="2029" spans="39:49" ht="13.5" customHeight="1">
      <c r="AM2029" s="247"/>
      <c r="AN2029" s="247"/>
      <c r="AO2029" s="247"/>
      <c r="AP2029" s="247"/>
      <c r="AQ2029" s="247"/>
      <c r="AR2029" s="247"/>
      <c r="AS2029" s="247"/>
      <c r="AT2029" s="247"/>
      <c r="AU2029" s="247"/>
      <c r="AW2029" s="116"/>
    </row>
    <row r="2030" spans="39:49" ht="24" customHeight="1">
      <c r="AM2030" s="247"/>
      <c r="AN2030" s="247"/>
      <c r="AO2030" s="247"/>
      <c r="AP2030" s="247"/>
      <c r="AQ2030" s="247"/>
      <c r="AR2030" s="247"/>
      <c r="AS2030" s="247"/>
      <c r="AT2030" s="247"/>
      <c r="AU2030" s="247"/>
      <c r="AW2030" s="116"/>
    </row>
    <row r="2031" spans="39:49" ht="13.5" customHeight="1">
      <c r="AM2031" s="247"/>
      <c r="AN2031" s="247"/>
      <c r="AO2031" s="247"/>
      <c r="AP2031" s="247"/>
      <c r="AQ2031" s="247"/>
      <c r="AR2031" s="247"/>
      <c r="AS2031" s="247"/>
      <c r="AT2031" s="247"/>
      <c r="AU2031" s="247"/>
      <c r="AW2031" s="116"/>
    </row>
    <row r="2032" spans="39:49" ht="24" customHeight="1">
      <c r="AM2032" s="247"/>
      <c r="AN2032" s="247"/>
      <c r="AO2032" s="247"/>
      <c r="AP2032" s="247"/>
      <c r="AQ2032" s="247"/>
      <c r="AR2032" s="247"/>
      <c r="AS2032" s="247"/>
      <c r="AT2032" s="247"/>
      <c r="AU2032" s="247"/>
      <c r="AW2032" s="116"/>
    </row>
    <row r="2033" spans="39:49" ht="13.5" customHeight="1">
      <c r="AM2033" s="247"/>
      <c r="AN2033" s="247"/>
      <c r="AO2033" s="247"/>
      <c r="AP2033" s="247"/>
      <c r="AQ2033" s="247"/>
      <c r="AR2033" s="247"/>
      <c r="AS2033" s="247"/>
      <c r="AT2033" s="247"/>
      <c r="AU2033" s="247"/>
      <c r="AW2033" s="116"/>
    </row>
    <row r="2034" spans="39:49" ht="24" customHeight="1">
      <c r="AM2034" s="247"/>
      <c r="AN2034" s="247"/>
      <c r="AO2034" s="247"/>
      <c r="AP2034" s="247"/>
      <c r="AQ2034" s="247"/>
      <c r="AR2034" s="247"/>
      <c r="AS2034" s="247"/>
      <c r="AT2034" s="247"/>
      <c r="AU2034" s="247"/>
      <c r="AW2034" s="116"/>
    </row>
    <row r="2035" spans="39:49" ht="13.5" customHeight="1">
      <c r="AM2035" s="247"/>
      <c r="AN2035" s="247"/>
      <c r="AO2035" s="247"/>
      <c r="AP2035" s="247"/>
      <c r="AQ2035" s="247"/>
      <c r="AR2035" s="247"/>
      <c r="AS2035" s="247"/>
      <c r="AT2035" s="247"/>
      <c r="AU2035" s="247"/>
      <c r="AW2035" s="116"/>
    </row>
    <row r="2036" spans="39:49" ht="24" customHeight="1">
      <c r="AM2036" s="247"/>
      <c r="AN2036" s="247"/>
      <c r="AO2036" s="247"/>
      <c r="AP2036" s="247"/>
      <c r="AQ2036" s="247"/>
      <c r="AR2036" s="247"/>
      <c r="AS2036" s="247"/>
      <c r="AT2036" s="247"/>
      <c r="AU2036" s="247"/>
      <c r="AW2036" s="116"/>
    </row>
    <row r="2037" spans="39:49" ht="13.5" customHeight="1">
      <c r="AM2037" s="247"/>
      <c r="AN2037" s="247"/>
      <c r="AO2037" s="247"/>
      <c r="AP2037" s="247"/>
      <c r="AQ2037" s="247"/>
      <c r="AR2037" s="247"/>
      <c r="AS2037" s="247"/>
      <c r="AT2037" s="247"/>
      <c r="AU2037" s="247"/>
      <c r="AW2037" s="116"/>
    </row>
    <row r="2038" spans="39:49" ht="24" customHeight="1">
      <c r="AM2038" s="247"/>
      <c r="AN2038" s="247"/>
      <c r="AO2038" s="247"/>
      <c r="AP2038" s="247"/>
      <c r="AQ2038" s="247"/>
      <c r="AR2038" s="247"/>
      <c r="AS2038" s="247"/>
      <c r="AT2038" s="247"/>
      <c r="AU2038" s="247"/>
      <c r="AW2038" s="116"/>
    </row>
    <row r="2039" spans="39:49" ht="13.5" customHeight="1">
      <c r="AM2039" s="247"/>
      <c r="AN2039" s="247"/>
      <c r="AO2039" s="247"/>
      <c r="AP2039" s="247"/>
      <c r="AQ2039" s="247"/>
      <c r="AR2039" s="247"/>
      <c r="AS2039" s="247"/>
      <c r="AT2039" s="247"/>
      <c r="AU2039" s="247"/>
      <c r="AW2039" s="116"/>
    </row>
    <row r="2040" spans="39:49" ht="24" customHeight="1">
      <c r="AM2040" s="247"/>
      <c r="AN2040" s="247"/>
      <c r="AO2040" s="247"/>
      <c r="AP2040" s="247"/>
      <c r="AQ2040" s="247"/>
      <c r="AR2040" s="247"/>
      <c r="AS2040" s="247"/>
      <c r="AT2040" s="247"/>
      <c r="AU2040" s="247"/>
      <c r="AW2040" s="116"/>
    </row>
    <row r="2041" spans="39:49" ht="13.5" customHeight="1">
      <c r="AM2041" s="247"/>
      <c r="AN2041" s="247"/>
      <c r="AO2041" s="247"/>
      <c r="AP2041" s="247"/>
      <c r="AQ2041" s="247"/>
      <c r="AR2041" s="247"/>
      <c r="AS2041" s="247"/>
      <c r="AT2041" s="247"/>
      <c r="AU2041" s="247"/>
      <c r="AW2041" s="116"/>
    </row>
    <row r="2042" spans="39:49" ht="24" customHeight="1">
      <c r="AM2042" s="247"/>
      <c r="AN2042" s="247"/>
      <c r="AO2042" s="247"/>
      <c r="AP2042" s="247"/>
      <c r="AQ2042" s="247"/>
      <c r="AR2042" s="247"/>
      <c r="AS2042" s="247"/>
      <c r="AT2042" s="247"/>
      <c r="AU2042" s="247"/>
      <c r="AW2042" s="116"/>
    </row>
    <row r="2043" spans="39:49" ht="13.5" customHeight="1">
      <c r="AM2043" s="247"/>
      <c r="AN2043" s="247"/>
      <c r="AO2043" s="247"/>
      <c r="AP2043" s="247"/>
      <c r="AQ2043" s="247"/>
      <c r="AR2043" s="247"/>
      <c r="AS2043" s="247"/>
      <c r="AT2043" s="247"/>
      <c r="AU2043" s="247"/>
      <c r="AW2043" s="116"/>
    </row>
    <row r="2044" spans="39:49" ht="24" customHeight="1">
      <c r="AM2044" s="247"/>
      <c r="AN2044" s="247"/>
      <c r="AO2044" s="247"/>
      <c r="AP2044" s="247"/>
      <c r="AQ2044" s="247"/>
      <c r="AR2044" s="247"/>
      <c r="AS2044" s="247"/>
      <c r="AT2044" s="247"/>
      <c r="AU2044" s="247"/>
      <c r="AW2044" s="116"/>
    </row>
    <row r="2045" spans="39:49" ht="13.5" customHeight="1">
      <c r="AM2045" s="247"/>
      <c r="AN2045" s="247"/>
      <c r="AO2045" s="247"/>
      <c r="AP2045" s="247"/>
      <c r="AQ2045" s="247"/>
      <c r="AR2045" s="247"/>
      <c r="AS2045" s="247"/>
      <c r="AT2045" s="247"/>
      <c r="AU2045" s="247"/>
      <c r="AW2045" s="116"/>
    </row>
    <row r="2046" spans="39:49" ht="24" customHeight="1">
      <c r="AM2046" s="247"/>
      <c r="AN2046" s="247"/>
      <c r="AO2046" s="247"/>
      <c r="AP2046" s="247"/>
      <c r="AQ2046" s="247"/>
      <c r="AR2046" s="247"/>
      <c r="AS2046" s="247"/>
      <c r="AT2046" s="247"/>
      <c r="AU2046" s="247"/>
      <c r="AW2046" s="116"/>
    </row>
    <row r="2047" spans="39:49" ht="13.5" customHeight="1">
      <c r="AM2047" s="247"/>
      <c r="AN2047" s="247"/>
      <c r="AO2047" s="247"/>
      <c r="AP2047" s="247"/>
      <c r="AQ2047" s="247"/>
      <c r="AR2047" s="247"/>
      <c r="AS2047" s="247"/>
      <c r="AT2047" s="247"/>
      <c r="AU2047" s="247"/>
      <c r="AW2047" s="116"/>
    </row>
    <row r="2048" spans="39:49" ht="24" customHeight="1">
      <c r="AM2048" s="247"/>
      <c r="AN2048" s="247"/>
      <c r="AO2048" s="247"/>
      <c r="AP2048" s="247"/>
      <c r="AQ2048" s="247"/>
      <c r="AR2048" s="247"/>
      <c r="AS2048" s="247"/>
      <c r="AT2048" s="247"/>
      <c r="AU2048" s="247"/>
      <c r="AW2048" s="116"/>
    </row>
    <row r="2049" spans="39:49" ht="13.5" customHeight="1">
      <c r="AM2049" s="247"/>
      <c r="AN2049" s="247"/>
      <c r="AO2049" s="247"/>
      <c r="AP2049" s="247"/>
      <c r="AQ2049" s="247"/>
      <c r="AR2049" s="247"/>
      <c r="AS2049" s="247"/>
      <c r="AT2049" s="247"/>
      <c r="AU2049" s="247"/>
      <c r="AW2049" s="116"/>
    </row>
    <row r="2050" spans="39:49" ht="24" customHeight="1">
      <c r="AM2050" s="247"/>
      <c r="AN2050" s="247"/>
      <c r="AO2050" s="247"/>
      <c r="AP2050" s="247"/>
      <c r="AQ2050" s="247"/>
      <c r="AR2050" s="247"/>
      <c r="AS2050" s="247"/>
      <c r="AT2050" s="247"/>
      <c r="AU2050" s="247"/>
      <c r="AW2050" s="116"/>
    </row>
    <row r="2051" spans="39:49" ht="13.5" customHeight="1">
      <c r="AM2051" s="247"/>
      <c r="AN2051" s="247"/>
      <c r="AO2051" s="247"/>
      <c r="AP2051" s="247"/>
      <c r="AQ2051" s="247"/>
      <c r="AR2051" s="247"/>
      <c r="AS2051" s="247"/>
      <c r="AT2051" s="247"/>
      <c r="AU2051" s="247"/>
      <c r="AW2051" s="116"/>
    </row>
    <row r="2052" spans="39:49" ht="24" customHeight="1">
      <c r="AM2052" s="247"/>
      <c r="AN2052" s="247"/>
      <c r="AO2052" s="247"/>
      <c r="AP2052" s="247"/>
      <c r="AQ2052" s="247"/>
      <c r="AR2052" s="247"/>
      <c r="AS2052" s="247"/>
      <c r="AT2052" s="247"/>
      <c r="AU2052" s="247"/>
      <c r="AW2052" s="116"/>
    </row>
    <row r="2053" spans="39:49" ht="13.5" customHeight="1">
      <c r="AM2053" s="247"/>
      <c r="AN2053" s="247"/>
      <c r="AO2053" s="247"/>
      <c r="AP2053" s="247"/>
      <c r="AQ2053" s="247"/>
      <c r="AR2053" s="247"/>
      <c r="AS2053" s="247"/>
      <c r="AT2053" s="247"/>
      <c r="AU2053" s="247"/>
      <c r="AW2053" s="116"/>
    </row>
    <row r="2054" spans="39:49" ht="24" customHeight="1">
      <c r="AM2054" s="247"/>
      <c r="AN2054" s="247"/>
      <c r="AO2054" s="247"/>
      <c r="AP2054" s="247"/>
      <c r="AQ2054" s="247"/>
      <c r="AR2054" s="247"/>
      <c r="AS2054" s="247"/>
      <c r="AT2054" s="247"/>
      <c r="AU2054" s="247"/>
      <c r="AW2054" s="116"/>
    </row>
    <row r="2055" spans="39:49" ht="13.5" customHeight="1">
      <c r="AM2055" s="247"/>
      <c r="AN2055" s="247"/>
      <c r="AO2055" s="247"/>
      <c r="AP2055" s="247"/>
      <c r="AQ2055" s="247"/>
      <c r="AR2055" s="247"/>
      <c r="AS2055" s="247"/>
      <c r="AT2055" s="247"/>
      <c r="AU2055" s="247"/>
      <c r="AW2055" s="116"/>
    </row>
    <row r="2056" spans="39:49" ht="24" customHeight="1">
      <c r="AM2056" s="247"/>
      <c r="AN2056" s="247"/>
      <c r="AO2056" s="247"/>
      <c r="AP2056" s="247"/>
      <c r="AQ2056" s="247"/>
      <c r="AR2056" s="247"/>
      <c r="AS2056" s="247"/>
      <c r="AT2056" s="247"/>
      <c r="AU2056" s="247"/>
      <c r="AW2056" s="116"/>
    </row>
    <row r="2057" spans="39:49" ht="13.5" customHeight="1">
      <c r="AM2057" s="247"/>
      <c r="AN2057" s="247"/>
      <c r="AO2057" s="247"/>
      <c r="AP2057" s="247"/>
      <c r="AQ2057" s="247"/>
      <c r="AR2057" s="247"/>
      <c r="AS2057" s="247"/>
      <c r="AT2057" s="247"/>
      <c r="AU2057" s="247"/>
      <c r="AW2057" s="116"/>
    </row>
    <row r="2058" spans="39:49" ht="24" customHeight="1">
      <c r="AM2058" s="247"/>
      <c r="AN2058" s="247"/>
      <c r="AO2058" s="247"/>
      <c r="AP2058" s="247"/>
      <c r="AQ2058" s="247"/>
      <c r="AR2058" s="247"/>
      <c r="AS2058" s="247"/>
      <c r="AT2058" s="247"/>
      <c r="AU2058" s="247"/>
      <c r="AW2058" s="116"/>
    </row>
    <row r="2059" spans="39:49" ht="13.5" customHeight="1">
      <c r="AM2059" s="247"/>
      <c r="AN2059" s="247"/>
      <c r="AO2059" s="247"/>
      <c r="AP2059" s="247"/>
      <c r="AQ2059" s="247"/>
      <c r="AR2059" s="247"/>
      <c r="AS2059" s="247"/>
      <c r="AT2059" s="247"/>
      <c r="AU2059" s="247"/>
      <c r="AW2059" s="116"/>
    </row>
    <row r="2060" spans="39:49" ht="24" customHeight="1">
      <c r="AM2060" s="247"/>
      <c r="AN2060" s="247"/>
      <c r="AO2060" s="247"/>
      <c r="AP2060" s="247"/>
      <c r="AQ2060" s="247"/>
      <c r="AR2060" s="247"/>
      <c r="AS2060" s="247"/>
      <c r="AT2060" s="247"/>
      <c r="AU2060" s="247"/>
      <c r="AW2060" s="116"/>
    </row>
    <row r="2061" spans="39:49" ht="13.5" customHeight="1">
      <c r="AM2061" s="247"/>
      <c r="AN2061" s="247"/>
      <c r="AO2061" s="247"/>
      <c r="AP2061" s="247"/>
      <c r="AQ2061" s="247"/>
      <c r="AR2061" s="247"/>
      <c r="AS2061" s="247"/>
      <c r="AT2061" s="247"/>
      <c r="AU2061" s="247"/>
      <c r="AW2061" s="116"/>
    </row>
    <row r="2062" spans="39:49" ht="24" customHeight="1">
      <c r="AM2062" s="247"/>
      <c r="AN2062" s="247"/>
      <c r="AO2062" s="247"/>
      <c r="AP2062" s="247"/>
      <c r="AQ2062" s="247"/>
      <c r="AR2062" s="247"/>
      <c r="AS2062" s="247"/>
      <c r="AT2062" s="247"/>
      <c r="AU2062" s="247"/>
      <c r="AW2062" s="116"/>
    </row>
    <row r="2063" spans="39:49" ht="13.5" customHeight="1">
      <c r="AM2063" s="247"/>
      <c r="AN2063" s="247"/>
      <c r="AO2063" s="247"/>
      <c r="AP2063" s="247"/>
      <c r="AQ2063" s="247"/>
      <c r="AR2063" s="247"/>
      <c r="AS2063" s="247"/>
      <c r="AT2063" s="247"/>
      <c r="AU2063" s="247"/>
      <c r="AW2063" s="116"/>
    </row>
    <row r="2064" spans="39:49" ht="24" customHeight="1">
      <c r="AM2064" s="247"/>
      <c r="AN2064" s="247"/>
      <c r="AO2064" s="247"/>
      <c r="AP2064" s="247"/>
      <c r="AQ2064" s="247"/>
      <c r="AR2064" s="247"/>
      <c r="AS2064" s="247"/>
      <c r="AT2064" s="247"/>
      <c r="AU2064" s="247"/>
      <c r="AW2064" s="116"/>
    </row>
    <row r="2065" spans="39:49" ht="13.5" customHeight="1">
      <c r="AM2065" s="247"/>
      <c r="AN2065" s="247"/>
      <c r="AO2065" s="247"/>
      <c r="AP2065" s="247"/>
      <c r="AQ2065" s="247"/>
      <c r="AR2065" s="247"/>
      <c r="AS2065" s="247"/>
      <c r="AT2065" s="247"/>
      <c r="AU2065" s="247"/>
      <c r="AW2065" s="116"/>
    </row>
    <row r="2066" spans="39:49" ht="24" customHeight="1">
      <c r="AM2066" s="247"/>
      <c r="AN2066" s="247"/>
      <c r="AO2066" s="247"/>
      <c r="AP2066" s="247"/>
      <c r="AQ2066" s="247"/>
      <c r="AR2066" s="247"/>
      <c r="AS2066" s="247"/>
      <c r="AT2066" s="247"/>
      <c r="AU2066" s="247"/>
      <c r="AW2066" s="116"/>
    </row>
    <row r="2067" spans="39:49" ht="13.5" customHeight="1">
      <c r="AM2067" s="247"/>
      <c r="AN2067" s="247"/>
      <c r="AO2067" s="247"/>
      <c r="AP2067" s="247"/>
      <c r="AQ2067" s="247"/>
      <c r="AR2067" s="247"/>
      <c r="AS2067" s="247"/>
      <c r="AT2067" s="247"/>
      <c r="AU2067" s="247"/>
      <c r="AW2067" s="116"/>
    </row>
    <row r="2068" spans="39:49" ht="24" customHeight="1">
      <c r="AM2068" s="247"/>
      <c r="AN2068" s="247"/>
      <c r="AO2068" s="247"/>
      <c r="AP2068" s="247"/>
      <c r="AQ2068" s="247"/>
      <c r="AR2068" s="247"/>
      <c r="AS2068" s="247"/>
      <c r="AT2068" s="247"/>
      <c r="AU2068" s="247"/>
      <c r="AW2068" s="116"/>
    </row>
    <row r="2069" spans="39:49" ht="13.5" customHeight="1">
      <c r="AM2069" s="247"/>
      <c r="AN2069" s="247"/>
      <c r="AO2069" s="247"/>
      <c r="AP2069" s="247"/>
      <c r="AQ2069" s="247"/>
      <c r="AR2069" s="247"/>
      <c r="AS2069" s="247"/>
      <c r="AT2069" s="247"/>
      <c r="AU2069" s="247"/>
      <c r="AW2069" s="116"/>
    </row>
    <row r="2070" spans="39:49" ht="24" customHeight="1">
      <c r="AM2070" s="247"/>
      <c r="AN2070" s="247"/>
      <c r="AO2070" s="247"/>
      <c r="AP2070" s="247"/>
      <c r="AQ2070" s="247"/>
      <c r="AR2070" s="247"/>
      <c r="AS2070" s="247"/>
      <c r="AT2070" s="247"/>
      <c r="AU2070" s="247"/>
      <c r="AW2070" s="116"/>
    </row>
    <row r="2071" spans="39:49" ht="13.5" customHeight="1">
      <c r="AM2071" s="247"/>
      <c r="AN2071" s="247"/>
      <c r="AO2071" s="247"/>
      <c r="AP2071" s="247"/>
      <c r="AQ2071" s="247"/>
      <c r="AR2071" s="247"/>
      <c r="AS2071" s="247"/>
      <c r="AT2071" s="247"/>
      <c r="AU2071" s="247"/>
      <c r="AW2071" s="116"/>
    </row>
    <row r="2072" spans="39:49" ht="24" customHeight="1">
      <c r="AM2072" s="247"/>
      <c r="AN2072" s="247"/>
      <c r="AO2072" s="247"/>
      <c r="AP2072" s="247"/>
      <c r="AQ2072" s="247"/>
      <c r="AR2072" s="247"/>
      <c r="AS2072" s="247"/>
      <c r="AT2072" s="247"/>
      <c r="AU2072" s="247"/>
      <c r="AW2072" s="116"/>
    </row>
    <row r="2073" spans="39:49" ht="13.5" customHeight="1">
      <c r="AM2073" s="247"/>
      <c r="AN2073" s="247"/>
      <c r="AO2073" s="247"/>
      <c r="AP2073" s="247"/>
      <c r="AQ2073" s="247"/>
      <c r="AR2073" s="247"/>
      <c r="AS2073" s="247"/>
      <c r="AT2073" s="247"/>
      <c r="AU2073" s="247"/>
      <c r="AW2073" s="116"/>
    </row>
    <row r="2074" spans="39:49" ht="24" customHeight="1">
      <c r="AM2074" s="247"/>
      <c r="AN2074" s="247"/>
      <c r="AO2074" s="247"/>
      <c r="AP2074" s="247"/>
      <c r="AQ2074" s="247"/>
      <c r="AR2074" s="247"/>
      <c r="AS2074" s="247"/>
      <c r="AT2074" s="247"/>
      <c r="AU2074" s="247"/>
      <c r="AW2074" s="116"/>
    </row>
    <row r="2075" spans="39:49" ht="13.5" customHeight="1">
      <c r="AM2075" s="247"/>
      <c r="AN2075" s="247"/>
      <c r="AO2075" s="247"/>
      <c r="AP2075" s="247"/>
      <c r="AQ2075" s="247"/>
      <c r="AR2075" s="247"/>
      <c r="AS2075" s="247"/>
      <c r="AT2075" s="247"/>
      <c r="AU2075" s="247"/>
      <c r="AW2075" s="116"/>
    </row>
    <row r="2076" spans="39:49" ht="24" customHeight="1">
      <c r="AM2076" s="247"/>
      <c r="AN2076" s="247"/>
      <c r="AO2076" s="247"/>
      <c r="AP2076" s="247"/>
      <c r="AQ2076" s="247"/>
      <c r="AR2076" s="247"/>
      <c r="AS2076" s="247"/>
      <c r="AT2076" s="247"/>
      <c r="AU2076" s="247"/>
      <c r="AW2076" s="116"/>
    </row>
    <row r="2077" spans="39:49" ht="13.5" customHeight="1">
      <c r="AM2077" s="247"/>
      <c r="AN2077" s="247"/>
      <c r="AO2077" s="247"/>
      <c r="AP2077" s="247"/>
      <c r="AQ2077" s="247"/>
      <c r="AR2077" s="247"/>
      <c r="AS2077" s="247"/>
      <c r="AT2077" s="247"/>
      <c r="AU2077" s="247"/>
      <c r="AW2077" s="116"/>
    </row>
    <row r="2078" spans="39:49" ht="24" customHeight="1">
      <c r="AM2078" s="247"/>
      <c r="AN2078" s="247"/>
      <c r="AO2078" s="247"/>
      <c r="AP2078" s="247"/>
      <c r="AQ2078" s="247"/>
      <c r="AR2078" s="247"/>
      <c r="AS2078" s="247"/>
      <c r="AT2078" s="247"/>
      <c r="AU2078" s="247"/>
      <c r="AW2078" s="116"/>
    </row>
    <row r="2079" spans="39:49" ht="13.5" customHeight="1">
      <c r="AM2079" s="247"/>
      <c r="AN2079" s="247"/>
      <c r="AO2079" s="247"/>
      <c r="AP2079" s="247"/>
      <c r="AQ2079" s="247"/>
      <c r="AR2079" s="247"/>
      <c r="AS2079" s="247"/>
      <c r="AT2079" s="247"/>
      <c r="AU2079" s="247"/>
      <c r="AW2079" s="116"/>
    </row>
    <row r="2080" spans="39:49" ht="24" customHeight="1">
      <c r="AM2080" s="247"/>
      <c r="AN2080" s="247"/>
      <c r="AO2080" s="247"/>
      <c r="AP2080" s="247"/>
      <c r="AQ2080" s="247"/>
      <c r="AR2080" s="247"/>
      <c r="AS2080" s="247"/>
      <c r="AT2080" s="247"/>
      <c r="AU2080" s="247"/>
      <c r="AW2080" s="116"/>
    </row>
    <row r="2081" spans="39:49" ht="13.5" customHeight="1">
      <c r="AM2081" s="247"/>
      <c r="AN2081" s="247"/>
      <c r="AO2081" s="247"/>
      <c r="AP2081" s="247"/>
      <c r="AQ2081" s="247"/>
      <c r="AR2081" s="247"/>
      <c r="AS2081" s="247"/>
      <c r="AT2081" s="247"/>
      <c r="AU2081" s="247"/>
      <c r="AW2081" s="116"/>
    </row>
    <row r="2082" spans="39:49" ht="24" customHeight="1">
      <c r="AM2082" s="247"/>
      <c r="AN2082" s="247"/>
      <c r="AO2082" s="247"/>
      <c r="AP2082" s="247"/>
      <c r="AQ2082" s="247"/>
      <c r="AR2082" s="247"/>
      <c r="AS2082" s="247"/>
      <c r="AT2082" s="247"/>
      <c r="AU2082" s="247"/>
      <c r="AW2082" s="116"/>
    </row>
    <row r="2083" spans="39:49" ht="13.5" customHeight="1">
      <c r="AM2083" s="247"/>
      <c r="AN2083" s="247"/>
      <c r="AO2083" s="247"/>
      <c r="AP2083" s="247"/>
      <c r="AQ2083" s="247"/>
      <c r="AR2083" s="247"/>
      <c r="AS2083" s="247"/>
      <c r="AT2083" s="247"/>
      <c r="AU2083" s="247"/>
      <c r="AW2083" s="116"/>
    </row>
    <row r="2084" spans="39:49" ht="24" customHeight="1">
      <c r="AM2084" s="247"/>
      <c r="AN2084" s="247"/>
      <c r="AO2084" s="247"/>
      <c r="AP2084" s="247"/>
      <c r="AQ2084" s="247"/>
      <c r="AR2084" s="247"/>
      <c r="AS2084" s="247"/>
      <c r="AT2084" s="247"/>
      <c r="AU2084" s="247"/>
      <c r="AW2084" s="116"/>
    </row>
    <row r="2085" spans="39:49" ht="13.5" customHeight="1">
      <c r="AM2085" s="247"/>
      <c r="AN2085" s="247"/>
      <c r="AO2085" s="247"/>
      <c r="AP2085" s="247"/>
      <c r="AQ2085" s="247"/>
      <c r="AR2085" s="247"/>
      <c r="AS2085" s="247"/>
      <c r="AT2085" s="247"/>
      <c r="AU2085" s="247"/>
      <c r="AW2085" s="116"/>
    </row>
    <row r="2086" spans="39:49" ht="24" customHeight="1">
      <c r="AM2086" s="247"/>
      <c r="AN2086" s="247"/>
      <c r="AO2086" s="247"/>
      <c r="AP2086" s="247"/>
      <c r="AQ2086" s="247"/>
      <c r="AR2086" s="247"/>
      <c r="AS2086" s="247"/>
      <c r="AT2086" s="247"/>
      <c r="AU2086" s="247"/>
      <c r="AW2086" s="116"/>
    </row>
    <row r="2087" spans="39:49" ht="13.5" customHeight="1">
      <c r="AM2087" s="247"/>
      <c r="AN2087" s="247"/>
      <c r="AO2087" s="247"/>
      <c r="AP2087" s="247"/>
      <c r="AQ2087" s="247"/>
      <c r="AR2087" s="247"/>
      <c r="AS2087" s="247"/>
      <c r="AT2087" s="247"/>
      <c r="AU2087" s="247"/>
      <c r="AW2087" s="116"/>
    </row>
    <row r="2088" spans="39:49" ht="24" customHeight="1">
      <c r="AM2088" s="247"/>
      <c r="AN2088" s="247"/>
      <c r="AO2088" s="247"/>
      <c r="AP2088" s="247"/>
      <c r="AQ2088" s="247"/>
      <c r="AR2088" s="247"/>
      <c r="AS2088" s="247"/>
      <c r="AT2088" s="247"/>
      <c r="AU2088" s="247"/>
      <c r="AW2088" s="116"/>
    </row>
    <row r="2089" spans="39:49" ht="13.5" customHeight="1">
      <c r="AM2089" s="247"/>
      <c r="AN2089" s="247"/>
      <c r="AO2089" s="247"/>
      <c r="AP2089" s="247"/>
      <c r="AQ2089" s="247"/>
      <c r="AR2089" s="247"/>
      <c r="AS2089" s="247"/>
      <c r="AT2089" s="247"/>
      <c r="AU2089" s="247"/>
      <c r="AW2089" s="116"/>
    </row>
    <row r="2090" spans="39:49" ht="24" customHeight="1">
      <c r="AM2090" s="247"/>
      <c r="AN2090" s="247"/>
      <c r="AO2090" s="247"/>
      <c r="AP2090" s="247"/>
      <c r="AQ2090" s="247"/>
      <c r="AR2090" s="247"/>
      <c r="AS2090" s="247"/>
      <c r="AT2090" s="247"/>
      <c r="AU2090" s="247"/>
      <c r="AW2090" s="116"/>
    </row>
    <row r="2091" spans="39:49" ht="13.5" customHeight="1">
      <c r="AM2091" s="247"/>
      <c r="AN2091" s="247"/>
      <c r="AO2091" s="247"/>
      <c r="AP2091" s="247"/>
      <c r="AQ2091" s="247"/>
      <c r="AR2091" s="247"/>
      <c r="AS2091" s="247"/>
      <c r="AT2091" s="247"/>
      <c r="AU2091" s="247"/>
      <c r="AW2091" s="116"/>
    </row>
    <row r="2092" spans="39:49" ht="24" customHeight="1">
      <c r="AM2092" s="247"/>
      <c r="AN2092" s="247"/>
      <c r="AO2092" s="247"/>
      <c r="AP2092" s="247"/>
      <c r="AQ2092" s="247"/>
      <c r="AR2092" s="247"/>
      <c r="AS2092" s="247"/>
      <c r="AT2092" s="247"/>
      <c r="AU2092" s="247"/>
      <c r="AW2092" s="116"/>
    </row>
    <row r="2093" spans="39:49" ht="13.5" customHeight="1">
      <c r="AM2093" s="247"/>
      <c r="AN2093" s="247"/>
      <c r="AO2093" s="247"/>
      <c r="AP2093" s="247"/>
      <c r="AQ2093" s="247"/>
      <c r="AR2093" s="247"/>
      <c r="AS2093" s="247"/>
      <c r="AT2093" s="247"/>
      <c r="AU2093" s="247"/>
      <c r="AW2093" s="116"/>
    </row>
    <row r="2094" spans="39:49" ht="24" customHeight="1">
      <c r="AM2094" s="247"/>
      <c r="AN2094" s="247"/>
      <c r="AO2094" s="247"/>
      <c r="AP2094" s="247"/>
      <c r="AQ2094" s="247"/>
      <c r="AR2094" s="247"/>
      <c r="AS2094" s="247"/>
      <c r="AT2094" s="247"/>
      <c r="AU2094" s="247"/>
      <c r="AW2094" s="116"/>
    </row>
    <row r="2095" spans="39:49" ht="13.5" customHeight="1">
      <c r="AM2095" s="247"/>
      <c r="AN2095" s="247"/>
      <c r="AO2095" s="247"/>
      <c r="AP2095" s="247"/>
      <c r="AQ2095" s="247"/>
      <c r="AR2095" s="247"/>
      <c r="AS2095" s="247"/>
      <c r="AT2095" s="247"/>
      <c r="AU2095" s="247"/>
      <c r="AW2095" s="116"/>
    </row>
    <row r="2096" spans="39:49" ht="24" customHeight="1">
      <c r="AM2096" s="247"/>
      <c r="AN2096" s="247"/>
      <c r="AO2096" s="247"/>
      <c r="AP2096" s="247"/>
      <c r="AQ2096" s="247"/>
      <c r="AR2096" s="247"/>
      <c r="AS2096" s="247"/>
      <c r="AT2096" s="247"/>
      <c r="AU2096" s="247"/>
      <c r="AW2096" s="116"/>
    </row>
    <row r="2097" spans="39:49" ht="13.5" customHeight="1">
      <c r="AM2097" s="247"/>
      <c r="AN2097" s="247"/>
      <c r="AO2097" s="247"/>
      <c r="AP2097" s="247"/>
      <c r="AQ2097" s="247"/>
      <c r="AR2097" s="247"/>
      <c r="AS2097" s="247"/>
      <c r="AT2097" s="247"/>
      <c r="AU2097" s="247"/>
      <c r="AW2097" s="116"/>
    </row>
    <row r="2098" spans="39:49" ht="24" customHeight="1">
      <c r="AM2098" s="247"/>
      <c r="AN2098" s="247"/>
      <c r="AO2098" s="247"/>
      <c r="AP2098" s="247"/>
      <c r="AQ2098" s="247"/>
      <c r="AR2098" s="247"/>
      <c r="AS2098" s="247"/>
      <c r="AT2098" s="247"/>
      <c r="AU2098" s="247"/>
      <c r="AW2098" s="116"/>
    </row>
    <row r="2099" spans="39:49" ht="13.5" customHeight="1">
      <c r="AM2099" s="247"/>
      <c r="AN2099" s="247"/>
      <c r="AO2099" s="247"/>
      <c r="AP2099" s="247"/>
      <c r="AQ2099" s="247"/>
      <c r="AR2099" s="247"/>
      <c r="AS2099" s="247"/>
      <c r="AT2099" s="247"/>
      <c r="AU2099" s="247"/>
      <c r="AW2099" s="116"/>
    </row>
    <row r="2100" spans="39:49" ht="24" customHeight="1">
      <c r="AM2100" s="247"/>
      <c r="AN2100" s="247"/>
      <c r="AO2100" s="247"/>
      <c r="AP2100" s="247"/>
      <c r="AQ2100" s="247"/>
      <c r="AR2100" s="247"/>
      <c r="AS2100" s="247"/>
      <c r="AT2100" s="247"/>
      <c r="AU2100" s="247"/>
      <c r="AW2100" s="116"/>
    </row>
    <row r="2101" spans="39:49" ht="13.5" customHeight="1">
      <c r="AM2101" s="247"/>
      <c r="AN2101" s="247"/>
      <c r="AO2101" s="247"/>
      <c r="AP2101" s="247"/>
      <c r="AQ2101" s="247"/>
      <c r="AR2101" s="247"/>
      <c r="AS2101" s="247"/>
      <c r="AT2101" s="247"/>
      <c r="AU2101" s="247"/>
      <c r="AW2101" s="116"/>
    </row>
    <row r="2102" spans="39:49" ht="24" customHeight="1">
      <c r="AM2102" s="247"/>
      <c r="AN2102" s="247"/>
      <c r="AO2102" s="247"/>
      <c r="AP2102" s="247"/>
      <c r="AQ2102" s="247"/>
      <c r="AR2102" s="247"/>
      <c r="AS2102" s="247"/>
      <c r="AT2102" s="247"/>
      <c r="AU2102" s="247"/>
      <c r="AW2102" s="116"/>
    </row>
    <row r="2103" spans="39:49" ht="13.5" customHeight="1">
      <c r="AM2103" s="247"/>
      <c r="AN2103" s="247"/>
      <c r="AO2103" s="247"/>
      <c r="AP2103" s="247"/>
      <c r="AQ2103" s="247"/>
      <c r="AR2103" s="247"/>
      <c r="AS2103" s="247"/>
      <c r="AT2103" s="247"/>
      <c r="AU2103" s="247"/>
      <c r="AW2103" s="116"/>
    </row>
    <row r="2104" spans="39:49" ht="24" customHeight="1">
      <c r="AM2104" s="247"/>
      <c r="AN2104" s="247"/>
      <c r="AO2104" s="247"/>
      <c r="AP2104" s="247"/>
      <c r="AQ2104" s="247"/>
      <c r="AR2104" s="247"/>
      <c r="AS2104" s="247"/>
      <c r="AT2104" s="247"/>
      <c r="AU2104" s="247"/>
      <c r="AW2104" s="116"/>
    </row>
    <row r="2105" spans="39:49" ht="13.5" customHeight="1">
      <c r="AM2105" s="247"/>
      <c r="AN2105" s="247"/>
      <c r="AO2105" s="247"/>
      <c r="AP2105" s="247"/>
      <c r="AQ2105" s="247"/>
      <c r="AR2105" s="247"/>
      <c r="AS2105" s="247"/>
      <c r="AT2105" s="247"/>
      <c r="AU2105" s="247"/>
      <c r="AW2105" s="116"/>
    </row>
    <row r="2106" spans="39:49" ht="24" customHeight="1">
      <c r="AM2106" s="247"/>
      <c r="AN2106" s="247"/>
      <c r="AO2106" s="247"/>
      <c r="AP2106" s="247"/>
      <c r="AQ2106" s="247"/>
      <c r="AR2106" s="247"/>
      <c r="AS2106" s="247"/>
      <c r="AT2106" s="247"/>
      <c r="AU2106" s="247"/>
      <c r="AW2106" s="116"/>
    </row>
    <row r="2107" spans="39:49" ht="13.5" customHeight="1">
      <c r="AM2107" s="247"/>
      <c r="AN2107" s="247"/>
      <c r="AO2107" s="247"/>
      <c r="AP2107" s="247"/>
      <c r="AQ2107" s="247"/>
      <c r="AR2107" s="247"/>
      <c r="AS2107" s="247"/>
      <c r="AT2107" s="247"/>
      <c r="AU2107" s="247"/>
      <c r="AW2107" s="116"/>
    </row>
    <row r="2108" spans="39:49" ht="24" customHeight="1">
      <c r="AM2108" s="247"/>
      <c r="AN2108" s="247"/>
      <c r="AO2108" s="247"/>
      <c r="AP2108" s="247"/>
      <c r="AQ2108" s="247"/>
      <c r="AR2108" s="247"/>
      <c r="AS2108" s="247"/>
      <c r="AT2108" s="247"/>
      <c r="AU2108" s="247"/>
      <c r="AW2108" s="116"/>
    </row>
    <row r="2109" spans="39:49" ht="13.5" customHeight="1">
      <c r="AM2109" s="247"/>
      <c r="AN2109" s="247"/>
      <c r="AO2109" s="247"/>
      <c r="AP2109" s="247"/>
      <c r="AQ2109" s="247"/>
      <c r="AR2109" s="247"/>
      <c r="AS2109" s="247"/>
      <c r="AT2109" s="247"/>
      <c r="AU2109" s="247"/>
      <c r="AW2109" s="116"/>
    </row>
    <row r="2110" spans="39:49" ht="24" customHeight="1">
      <c r="AM2110" s="247"/>
      <c r="AN2110" s="247"/>
      <c r="AO2110" s="247"/>
      <c r="AP2110" s="247"/>
      <c r="AQ2110" s="247"/>
      <c r="AR2110" s="247"/>
      <c r="AS2110" s="247"/>
      <c r="AT2110" s="247"/>
      <c r="AU2110" s="247"/>
      <c r="AW2110" s="116"/>
    </row>
    <row r="2111" spans="39:49" ht="13.5" customHeight="1">
      <c r="AM2111" s="247"/>
      <c r="AN2111" s="247"/>
      <c r="AO2111" s="247"/>
      <c r="AP2111" s="247"/>
      <c r="AQ2111" s="247"/>
      <c r="AR2111" s="247"/>
      <c r="AS2111" s="247"/>
      <c r="AT2111" s="247"/>
      <c r="AU2111" s="247"/>
      <c r="AW2111" s="116"/>
    </row>
    <row r="2112" spans="39:49" ht="24" customHeight="1">
      <c r="AM2112" s="247"/>
      <c r="AN2112" s="247"/>
      <c r="AO2112" s="247"/>
      <c r="AP2112" s="247"/>
      <c r="AQ2112" s="247"/>
      <c r="AR2112" s="247"/>
      <c r="AS2112" s="247"/>
      <c r="AT2112" s="247"/>
      <c r="AU2112" s="247"/>
      <c r="AW2112" s="116"/>
    </row>
    <row r="2113" spans="39:49" ht="13.5" customHeight="1">
      <c r="AM2113" s="247"/>
      <c r="AN2113" s="247"/>
      <c r="AO2113" s="247"/>
      <c r="AP2113" s="247"/>
      <c r="AQ2113" s="247"/>
      <c r="AR2113" s="247"/>
      <c r="AS2113" s="247"/>
      <c r="AT2113" s="247"/>
      <c r="AU2113" s="247"/>
      <c r="AW2113" s="116"/>
    </row>
    <row r="2114" spans="39:49" ht="24" customHeight="1">
      <c r="AM2114" s="247"/>
      <c r="AN2114" s="247"/>
      <c r="AO2114" s="247"/>
      <c r="AP2114" s="247"/>
      <c r="AQ2114" s="247"/>
      <c r="AR2114" s="247"/>
      <c r="AS2114" s="247"/>
      <c r="AT2114" s="247"/>
      <c r="AU2114" s="247"/>
      <c r="AW2114" s="116"/>
    </row>
    <row r="2115" spans="39:49" ht="13.5" customHeight="1">
      <c r="AM2115" s="247"/>
      <c r="AN2115" s="247"/>
      <c r="AO2115" s="247"/>
      <c r="AP2115" s="247"/>
      <c r="AQ2115" s="247"/>
      <c r="AR2115" s="247"/>
      <c r="AS2115" s="247"/>
      <c r="AT2115" s="247"/>
      <c r="AU2115" s="247"/>
      <c r="AW2115" s="116"/>
    </row>
    <row r="2116" spans="39:49" ht="24" customHeight="1">
      <c r="AM2116" s="247"/>
      <c r="AN2116" s="247"/>
      <c r="AO2116" s="247"/>
      <c r="AP2116" s="247"/>
      <c r="AQ2116" s="247"/>
      <c r="AR2116" s="247"/>
      <c r="AS2116" s="247"/>
      <c r="AT2116" s="247"/>
      <c r="AU2116" s="247"/>
      <c r="AW2116" s="116"/>
    </row>
    <row r="2117" spans="39:49" ht="13.5" customHeight="1">
      <c r="AM2117" s="247"/>
      <c r="AN2117" s="247"/>
      <c r="AO2117" s="247"/>
      <c r="AP2117" s="247"/>
      <c r="AQ2117" s="247"/>
      <c r="AR2117" s="247"/>
      <c r="AS2117" s="247"/>
      <c r="AT2117" s="247"/>
      <c r="AU2117" s="247"/>
      <c r="AW2117" s="116"/>
    </row>
    <row r="2118" spans="39:49" ht="24" customHeight="1">
      <c r="AM2118" s="247"/>
      <c r="AN2118" s="247"/>
      <c r="AO2118" s="247"/>
      <c r="AP2118" s="247"/>
      <c r="AQ2118" s="247"/>
      <c r="AR2118" s="247"/>
      <c r="AS2118" s="247"/>
      <c r="AT2118" s="247"/>
      <c r="AU2118" s="247"/>
      <c r="AW2118" s="116"/>
    </row>
    <row r="2119" spans="39:49" ht="13.5" customHeight="1">
      <c r="AM2119" s="247"/>
      <c r="AN2119" s="247"/>
      <c r="AO2119" s="247"/>
      <c r="AP2119" s="247"/>
      <c r="AQ2119" s="247"/>
      <c r="AR2119" s="247"/>
      <c r="AS2119" s="247"/>
      <c r="AT2119" s="247"/>
      <c r="AU2119" s="247"/>
      <c r="AW2119" s="116"/>
    </row>
    <row r="2120" spans="39:49" ht="24" customHeight="1">
      <c r="AM2120" s="247"/>
      <c r="AN2120" s="247"/>
      <c r="AO2120" s="247"/>
      <c r="AP2120" s="247"/>
      <c r="AQ2120" s="247"/>
      <c r="AR2120" s="247"/>
      <c r="AS2120" s="247"/>
      <c r="AT2120" s="247"/>
      <c r="AU2120" s="247"/>
      <c r="AW2120" s="116"/>
    </row>
    <row r="2121" spans="39:49" ht="13.5" customHeight="1">
      <c r="AM2121" s="247"/>
      <c r="AN2121" s="247"/>
      <c r="AO2121" s="247"/>
      <c r="AP2121" s="247"/>
      <c r="AQ2121" s="247"/>
      <c r="AR2121" s="247"/>
      <c r="AS2121" s="247"/>
      <c r="AT2121" s="247"/>
      <c r="AU2121" s="247"/>
      <c r="AW2121" s="116"/>
    </row>
    <row r="2122" spans="39:49" ht="24" customHeight="1">
      <c r="AM2122" s="247"/>
      <c r="AN2122" s="247"/>
      <c r="AO2122" s="247"/>
      <c r="AP2122" s="247"/>
      <c r="AQ2122" s="247"/>
      <c r="AR2122" s="247"/>
      <c r="AS2122" s="247"/>
      <c r="AT2122" s="247"/>
      <c r="AU2122" s="247"/>
      <c r="AW2122" s="116"/>
    </row>
    <row r="2123" spans="39:49" ht="13.5" customHeight="1">
      <c r="AM2123" s="247"/>
      <c r="AN2123" s="247"/>
      <c r="AO2123" s="247"/>
      <c r="AP2123" s="247"/>
      <c r="AQ2123" s="247"/>
      <c r="AR2123" s="247"/>
      <c r="AS2123" s="247"/>
      <c r="AT2123" s="247"/>
      <c r="AU2123" s="247"/>
      <c r="AW2123" s="116"/>
    </row>
    <row r="2124" spans="39:49" ht="24" customHeight="1">
      <c r="AM2124" s="247"/>
      <c r="AN2124" s="247"/>
      <c r="AO2124" s="247"/>
      <c r="AP2124" s="247"/>
      <c r="AQ2124" s="247"/>
      <c r="AR2124" s="247"/>
      <c r="AS2124" s="247"/>
      <c r="AT2124" s="247"/>
      <c r="AU2124" s="247"/>
      <c r="AW2124" s="116"/>
    </row>
    <row r="2125" spans="39:49" ht="13.5" customHeight="1">
      <c r="AM2125" s="247"/>
      <c r="AN2125" s="247"/>
      <c r="AO2125" s="247"/>
      <c r="AP2125" s="247"/>
      <c r="AQ2125" s="247"/>
      <c r="AR2125" s="247"/>
      <c r="AS2125" s="247"/>
      <c r="AT2125" s="247"/>
      <c r="AU2125" s="247"/>
      <c r="AW2125" s="116"/>
    </row>
    <row r="2126" spans="39:49" ht="24" customHeight="1">
      <c r="AM2126" s="247"/>
      <c r="AN2126" s="247"/>
      <c r="AO2126" s="247"/>
      <c r="AP2126" s="247"/>
      <c r="AQ2126" s="247"/>
      <c r="AR2126" s="247"/>
      <c r="AS2126" s="247"/>
      <c r="AT2126" s="247"/>
      <c r="AU2126" s="247"/>
      <c r="AW2126" s="116"/>
    </row>
    <row r="2127" spans="39:49" ht="13.5" customHeight="1">
      <c r="AM2127" s="247"/>
      <c r="AN2127" s="247"/>
      <c r="AO2127" s="247"/>
      <c r="AP2127" s="247"/>
      <c r="AQ2127" s="247"/>
      <c r="AR2127" s="247"/>
      <c r="AS2127" s="247"/>
      <c r="AT2127" s="247"/>
      <c r="AU2127" s="247"/>
      <c r="AW2127" s="116"/>
    </row>
    <row r="2128" spans="39:49" ht="24" customHeight="1">
      <c r="AM2128" s="247"/>
      <c r="AN2128" s="247"/>
      <c r="AO2128" s="247"/>
      <c r="AP2128" s="247"/>
      <c r="AQ2128" s="247"/>
      <c r="AR2128" s="247"/>
      <c r="AS2128" s="247"/>
      <c r="AT2128" s="247"/>
      <c r="AU2128" s="247"/>
      <c r="AW2128" s="116"/>
    </row>
    <row r="2129" spans="39:49" ht="13.5" customHeight="1">
      <c r="AM2129" s="247"/>
      <c r="AN2129" s="247"/>
      <c r="AO2129" s="247"/>
      <c r="AP2129" s="247"/>
      <c r="AQ2129" s="247"/>
      <c r="AR2129" s="247"/>
      <c r="AS2129" s="247"/>
      <c r="AT2129" s="247"/>
      <c r="AU2129" s="247"/>
      <c r="AW2129" s="116"/>
    </row>
    <row r="2130" spans="39:49" ht="24" customHeight="1">
      <c r="AM2130" s="247"/>
      <c r="AN2130" s="247"/>
      <c r="AO2130" s="247"/>
      <c r="AP2130" s="247"/>
      <c r="AQ2130" s="247"/>
      <c r="AR2130" s="247"/>
      <c r="AS2130" s="247"/>
      <c r="AT2130" s="247"/>
      <c r="AU2130" s="247"/>
      <c r="AW2130" s="116"/>
    </row>
    <row r="2131" spans="39:49" ht="13.5" customHeight="1">
      <c r="AM2131" s="247"/>
      <c r="AN2131" s="247"/>
      <c r="AO2131" s="247"/>
      <c r="AP2131" s="247"/>
      <c r="AQ2131" s="247"/>
      <c r="AR2131" s="247"/>
      <c r="AS2131" s="247"/>
      <c r="AT2131" s="247"/>
      <c r="AU2131" s="247"/>
      <c r="AW2131" s="116"/>
    </row>
    <row r="2132" spans="39:49" ht="24" customHeight="1">
      <c r="AM2132" s="247"/>
      <c r="AN2132" s="247"/>
      <c r="AO2132" s="247"/>
      <c r="AP2132" s="247"/>
      <c r="AQ2132" s="247"/>
      <c r="AR2132" s="247"/>
      <c r="AS2132" s="247"/>
      <c r="AT2132" s="247"/>
      <c r="AU2132" s="247"/>
      <c r="AW2132" s="116"/>
    </row>
    <row r="2133" spans="39:49" ht="13.5" customHeight="1">
      <c r="AM2133" s="247"/>
      <c r="AN2133" s="247"/>
      <c r="AO2133" s="247"/>
      <c r="AP2133" s="247"/>
      <c r="AQ2133" s="247"/>
      <c r="AR2133" s="247"/>
      <c r="AS2133" s="247"/>
      <c r="AT2133" s="247"/>
      <c r="AU2133" s="247"/>
      <c r="AW2133" s="116"/>
    </row>
    <row r="2134" spans="39:49" ht="24" customHeight="1">
      <c r="AM2134" s="247"/>
      <c r="AN2134" s="247"/>
      <c r="AO2134" s="247"/>
      <c r="AP2134" s="247"/>
      <c r="AQ2134" s="247"/>
      <c r="AR2134" s="247"/>
      <c r="AS2134" s="247"/>
      <c r="AT2134" s="247"/>
      <c r="AU2134" s="247"/>
      <c r="AW2134" s="116"/>
    </row>
    <row r="2135" spans="39:49" ht="13.5" customHeight="1">
      <c r="AM2135" s="247"/>
      <c r="AN2135" s="247"/>
      <c r="AO2135" s="247"/>
      <c r="AP2135" s="247"/>
      <c r="AQ2135" s="247"/>
      <c r="AR2135" s="247"/>
      <c r="AS2135" s="247"/>
      <c r="AT2135" s="247"/>
      <c r="AU2135" s="247"/>
      <c r="AW2135" s="116"/>
    </row>
    <row r="2136" spans="39:49" ht="24" customHeight="1">
      <c r="AM2136" s="247"/>
      <c r="AN2136" s="247"/>
      <c r="AO2136" s="247"/>
      <c r="AP2136" s="247"/>
      <c r="AQ2136" s="247"/>
      <c r="AR2136" s="247"/>
      <c r="AS2136" s="247"/>
      <c r="AT2136" s="247"/>
      <c r="AU2136" s="247"/>
      <c r="AW2136" s="116"/>
    </row>
    <row r="2137" spans="39:49" ht="13.5" customHeight="1">
      <c r="AM2137" s="247"/>
      <c r="AN2137" s="247"/>
      <c r="AO2137" s="247"/>
      <c r="AP2137" s="247"/>
      <c r="AQ2137" s="247"/>
      <c r="AR2137" s="247"/>
      <c r="AS2137" s="247"/>
      <c r="AT2137" s="247"/>
      <c r="AU2137" s="247"/>
      <c r="AW2137" s="116"/>
    </row>
    <row r="2138" spans="39:49" ht="24" customHeight="1">
      <c r="AM2138" s="247"/>
      <c r="AN2138" s="247"/>
      <c r="AO2138" s="247"/>
      <c r="AP2138" s="247"/>
      <c r="AQ2138" s="247"/>
      <c r="AR2138" s="247"/>
      <c r="AS2138" s="247"/>
      <c r="AT2138" s="247"/>
      <c r="AU2138" s="247"/>
      <c r="AW2138" s="116"/>
    </row>
    <row r="2139" spans="39:49" ht="13.5" customHeight="1">
      <c r="AM2139" s="247"/>
      <c r="AN2139" s="247"/>
      <c r="AO2139" s="247"/>
      <c r="AP2139" s="247"/>
      <c r="AQ2139" s="247"/>
      <c r="AR2139" s="247"/>
      <c r="AS2139" s="247"/>
      <c r="AT2139" s="247"/>
      <c r="AU2139" s="247"/>
      <c r="AW2139" s="116"/>
    </row>
    <row r="2140" spans="39:49" ht="24" customHeight="1">
      <c r="AM2140" s="247"/>
      <c r="AN2140" s="247"/>
      <c r="AO2140" s="247"/>
      <c r="AP2140" s="247"/>
      <c r="AQ2140" s="247"/>
      <c r="AR2140" s="247"/>
      <c r="AS2140" s="247"/>
      <c r="AT2140" s="247"/>
      <c r="AU2140" s="247"/>
      <c r="AW2140" s="116"/>
    </row>
    <row r="2141" spans="39:49" ht="13.5" customHeight="1">
      <c r="AM2141" s="247"/>
      <c r="AN2141" s="247"/>
      <c r="AO2141" s="247"/>
      <c r="AP2141" s="247"/>
      <c r="AQ2141" s="247"/>
      <c r="AR2141" s="247"/>
      <c r="AS2141" s="247"/>
      <c r="AT2141" s="247"/>
      <c r="AU2141" s="247"/>
      <c r="AW2141" s="116"/>
    </row>
    <row r="2142" spans="39:49" ht="24" customHeight="1">
      <c r="AM2142" s="247"/>
      <c r="AN2142" s="247"/>
      <c r="AO2142" s="247"/>
      <c r="AP2142" s="247"/>
      <c r="AQ2142" s="247"/>
      <c r="AR2142" s="247"/>
      <c r="AS2142" s="247"/>
      <c r="AT2142" s="247"/>
      <c r="AU2142" s="247"/>
      <c r="AW2142" s="116"/>
    </row>
    <row r="2143" spans="39:49" ht="13.5" customHeight="1">
      <c r="AM2143" s="247"/>
      <c r="AN2143" s="247"/>
      <c r="AO2143" s="247"/>
      <c r="AP2143" s="247"/>
      <c r="AQ2143" s="247"/>
      <c r="AR2143" s="247"/>
      <c r="AS2143" s="247"/>
      <c r="AT2143" s="247"/>
      <c r="AU2143" s="247"/>
      <c r="AW2143" s="116"/>
    </row>
    <row r="2144" spans="39:49" ht="24" customHeight="1">
      <c r="AM2144" s="247"/>
      <c r="AN2144" s="247"/>
      <c r="AO2144" s="247"/>
      <c r="AP2144" s="247"/>
      <c r="AQ2144" s="247"/>
      <c r="AR2144" s="247"/>
      <c r="AS2144" s="247"/>
      <c r="AT2144" s="247"/>
      <c r="AU2144" s="247"/>
      <c r="AW2144" s="116"/>
    </row>
    <row r="2145" spans="39:49" ht="13.5" customHeight="1">
      <c r="AM2145" s="247"/>
      <c r="AN2145" s="247"/>
      <c r="AO2145" s="247"/>
      <c r="AP2145" s="247"/>
      <c r="AQ2145" s="247"/>
      <c r="AR2145" s="247"/>
      <c r="AS2145" s="247"/>
      <c r="AT2145" s="247"/>
      <c r="AU2145" s="247"/>
      <c r="AW2145" s="116"/>
    </row>
    <row r="2146" spans="39:49" ht="24" customHeight="1">
      <c r="AM2146" s="247"/>
      <c r="AN2146" s="247"/>
      <c r="AO2146" s="247"/>
      <c r="AP2146" s="247"/>
      <c r="AQ2146" s="247"/>
      <c r="AR2146" s="247"/>
      <c r="AS2146" s="247"/>
      <c r="AT2146" s="247"/>
      <c r="AU2146" s="247"/>
      <c r="AW2146" s="116"/>
    </row>
    <row r="2147" spans="39:49" ht="13.5" customHeight="1">
      <c r="AM2147" s="247"/>
      <c r="AN2147" s="247"/>
      <c r="AO2147" s="247"/>
      <c r="AP2147" s="247"/>
      <c r="AQ2147" s="247"/>
      <c r="AR2147" s="247"/>
      <c r="AS2147" s="247"/>
      <c r="AT2147" s="247"/>
      <c r="AU2147" s="247"/>
      <c r="AW2147" s="116"/>
    </row>
    <row r="2148" spans="39:49" ht="24" customHeight="1">
      <c r="AM2148" s="247"/>
      <c r="AN2148" s="247"/>
      <c r="AO2148" s="247"/>
      <c r="AP2148" s="247"/>
      <c r="AQ2148" s="247"/>
      <c r="AR2148" s="247"/>
      <c r="AS2148" s="247"/>
      <c r="AT2148" s="247"/>
      <c r="AU2148" s="247"/>
      <c r="AW2148" s="116"/>
    </row>
    <row r="2149" spans="39:49" ht="13.5" customHeight="1">
      <c r="AM2149" s="247"/>
      <c r="AN2149" s="247"/>
      <c r="AO2149" s="247"/>
      <c r="AP2149" s="247"/>
      <c r="AQ2149" s="247"/>
      <c r="AR2149" s="247"/>
      <c r="AS2149" s="247"/>
      <c r="AT2149" s="247"/>
      <c r="AU2149" s="247"/>
      <c r="AW2149" s="116"/>
    </row>
    <row r="2150" spans="39:49" ht="24" customHeight="1">
      <c r="AM2150" s="247"/>
      <c r="AN2150" s="247"/>
      <c r="AO2150" s="247"/>
      <c r="AP2150" s="247"/>
      <c r="AQ2150" s="247"/>
      <c r="AR2150" s="247"/>
      <c r="AS2150" s="247"/>
      <c r="AT2150" s="247"/>
      <c r="AU2150" s="247"/>
      <c r="AW2150" s="116"/>
    </row>
    <row r="2151" spans="39:49" ht="13.5" customHeight="1">
      <c r="AM2151" s="247"/>
      <c r="AN2151" s="247"/>
      <c r="AO2151" s="247"/>
      <c r="AP2151" s="247"/>
      <c r="AQ2151" s="247"/>
      <c r="AR2151" s="247"/>
      <c r="AS2151" s="247"/>
      <c r="AT2151" s="247"/>
      <c r="AU2151" s="247"/>
      <c r="AW2151" s="116"/>
    </row>
    <row r="2152" spans="39:49" ht="24" customHeight="1">
      <c r="AM2152" s="247"/>
      <c r="AN2152" s="247"/>
      <c r="AO2152" s="247"/>
      <c r="AP2152" s="247"/>
      <c r="AQ2152" s="247"/>
      <c r="AR2152" s="247"/>
      <c r="AS2152" s="247"/>
      <c r="AT2152" s="247"/>
      <c r="AU2152" s="247"/>
      <c r="AW2152" s="116"/>
    </row>
    <row r="2153" spans="39:49" ht="13.5" customHeight="1">
      <c r="AM2153" s="247"/>
      <c r="AN2153" s="247"/>
      <c r="AO2153" s="247"/>
      <c r="AP2153" s="247"/>
      <c r="AQ2153" s="247"/>
      <c r="AR2153" s="247"/>
      <c r="AS2153" s="247"/>
      <c r="AT2153" s="247"/>
      <c r="AU2153" s="247"/>
      <c r="AW2153" s="116"/>
    </row>
    <row r="2154" spans="39:49" ht="24" customHeight="1">
      <c r="AM2154" s="247"/>
      <c r="AN2154" s="247"/>
      <c r="AO2154" s="247"/>
      <c r="AP2154" s="247"/>
      <c r="AQ2154" s="247"/>
      <c r="AR2154" s="247"/>
      <c r="AS2154" s="247"/>
      <c r="AT2154" s="247"/>
      <c r="AU2154" s="247"/>
      <c r="AW2154" s="116"/>
    </row>
    <row r="2155" spans="39:49" ht="13.5" customHeight="1">
      <c r="AM2155" s="247"/>
      <c r="AN2155" s="247"/>
      <c r="AO2155" s="247"/>
      <c r="AP2155" s="247"/>
      <c r="AQ2155" s="247"/>
      <c r="AR2155" s="247"/>
      <c r="AS2155" s="247"/>
      <c r="AT2155" s="247"/>
      <c r="AU2155" s="247"/>
      <c r="AW2155" s="116"/>
    </row>
    <row r="2156" spans="39:49" ht="24" customHeight="1">
      <c r="AM2156" s="247"/>
      <c r="AN2156" s="247"/>
      <c r="AO2156" s="247"/>
      <c r="AP2156" s="247"/>
      <c r="AQ2156" s="247"/>
      <c r="AR2156" s="247"/>
      <c r="AS2156" s="247"/>
      <c r="AT2156" s="247"/>
      <c r="AU2156" s="247"/>
      <c r="AW2156" s="116"/>
    </row>
    <row r="2157" spans="39:49" ht="13.5" customHeight="1">
      <c r="AM2157" s="247"/>
      <c r="AN2157" s="247"/>
      <c r="AO2157" s="247"/>
      <c r="AP2157" s="247"/>
      <c r="AQ2157" s="247"/>
      <c r="AR2157" s="247"/>
      <c r="AS2157" s="247"/>
      <c r="AT2157" s="247"/>
      <c r="AU2157" s="247"/>
      <c r="AW2157" s="116"/>
    </row>
    <row r="2158" spans="39:49" ht="24" customHeight="1">
      <c r="AM2158" s="247"/>
      <c r="AN2158" s="247"/>
      <c r="AO2158" s="247"/>
      <c r="AP2158" s="247"/>
      <c r="AQ2158" s="247"/>
      <c r="AR2158" s="247"/>
      <c r="AS2158" s="247"/>
      <c r="AT2158" s="247"/>
      <c r="AU2158" s="247"/>
      <c r="AW2158" s="116"/>
    </row>
    <row r="2159" spans="39:49" ht="13.5" customHeight="1">
      <c r="AM2159" s="247"/>
      <c r="AN2159" s="247"/>
      <c r="AO2159" s="247"/>
      <c r="AP2159" s="247"/>
      <c r="AQ2159" s="247"/>
      <c r="AR2159" s="247"/>
      <c r="AS2159" s="247"/>
      <c r="AT2159" s="247"/>
      <c r="AU2159" s="247"/>
      <c r="AW2159" s="116"/>
    </row>
    <row r="2160" spans="39:49" ht="24" customHeight="1">
      <c r="AM2160" s="247"/>
      <c r="AN2160" s="247"/>
      <c r="AO2160" s="247"/>
      <c r="AP2160" s="247"/>
      <c r="AQ2160" s="247"/>
      <c r="AR2160" s="247"/>
      <c r="AS2160" s="247"/>
      <c r="AT2160" s="247"/>
      <c r="AU2160" s="247"/>
      <c r="AW2160" s="116"/>
    </row>
    <row r="2161" spans="39:49" ht="13.5" customHeight="1">
      <c r="AM2161" s="247"/>
      <c r="AN2161" s="247"/>
      <c r="AO2161" s="247"/>
      <c r="AP2161" s="247"/>
      <c r="AQ2161" s="247"/>
      <c r="AR2161" s="247"/>
      <c r="AS2161" s="247"/>
      <c r="AT2161" s="247"/>
      <c r="AU2161" s="247"/>
      <c r="AW2161" s="116"/>
    </row>
    <row r="2162" spans="39:49" ht="24" customHeight="1">
      <c r="AM2162" s="247"/>
      <c r="AN2162" s="247"/>
      <c r="AO2162" s="247"/>
      <c r="AP2162" s="247"/>
      <c r="AQ2162" s="247"/>
      <c r="AR2162" s="247"/>
      <c r="AS2162" s="247"/>
      <c r="AT2162" s="247"/>
      <c r="AU2162" s="247"/>
      <c r="AW2162" s="116"/>
    </row>
    <row r="2163" spans="39:49" ht="13.5" customHeight="1">
      <c r="AM2163" s="247"/>
      <c r="AN2163" s="247"/>
      <c r="AO2163" s="247"/>
      <c r="AP2163" s="247"/>
      <c r="AQ2163" s="247"/>
      <c r="AR2163" s="247"/>
      <c r="AS2163" s="247"/>
      <c r="AT2163" s="247"/>
      <c r="AU2163" s="247"/>
      <c r="AW2163" s="116"/>
    </row>
    <row r="2164" spans="39:49" ht="24" customHeight="1">
      <c r="AM2164" s="247"/>
      <c r="AN2164" s="247"/>
      <c r="AO2164" s="247"/>
      <c r="AP2164" s="247"/>
      <c r="AQ2164" s="247"/>
      <c r="AR2164" s="247"/>
      <c r="AS2164" s="247"/>
      <c r="AT2164" s="247"/>
      <c r="AU2164" s="247"/>
      <c r="AW2164" s="116"/>
    </row>
    <row r="2165" spans="39:49" ht="13.5" customHeight="1">
      <c r="AM2165" s="247"/>
      <c r="AN2165" s="247"/>
      <c r="AO2165" s="247"/>
      <c r="AP2165" s="247"/>
      <c r="AQ2165" s="247"/>
      <c r="AR2165" s="247"/>
      <c r="AS2165" s="247"/>
      <c r="AT2165" s="247"/>
      <c r="AU2165" s="247"/>
      <c r="AW2165" s="116"/>
    </row>
    <row r="2166" spans="39:49" ht="24" customHeight="1">
      <c r="AM2166" s="247"/>
      <c r="AN2166" s="247"/>
      <c r="AO2166" s="247"/>
      <c r="AP2166" s="247"/>
      <c r="AQ2166" s="247"/>
      <c r="AR2166" s="247"/>
      <c r="AS2166" s="247"/>
      <c r="AT2166" s="247"/>
      <c r="AU2166" s="247"/>
      <c r="AW2166" s="116"/>
    </row>
    <row r="2167" spans="39:49" ht="13.5" customHeight="1">
      <c r="AM2167" s="247"/>
      <c r="AN2167" s="247"/>
      <c r="AO2167" s="247"/>
      <c r="AP2167" s="247"/>
      <c r="AQ2167" s="247"/>
      <c r="AR2167" s="247"/>
      <c r="AS2167" s="247"/>
      <c r="AT2167" s="247"/>
      <c r="AU2167" s="247"/>
      <c r="AW2167" s="116"/>
    </row>
    <row r="2168" spans="39:49" ht="24" customHeight="1">
      <c r="AM2168" s="247"/>
      <c r="AN2168" s="247"/>
      <c r="AO2168" s="247"/>
      <c r="AP2168" s="247"/>
      <c r="AQ2168" s="247"/>
      <c r="AR2168" s="247"/>
      <c r="AS2168" s="247"/>
      <c r="AT2168" s="247"/>
      <c r="AU2168" s="247"/>
      <c r="AW2168" s="116"/>
    </row>
    <row r="2169" spans="39:49" ht="13.5" customHeight="1">
      <c r="AM2169" s="247"/>
      <c r="AN2169" s="247"/>
      <c r="AO2169" s="247"/>
      <c r="AP2169" s="247"/>
      <c r="AQ2169" s="247"/>
      <c r="AR2169" s="247"/>
      <c r="AS2169" s="247"/>
      <c r="AT2169" s="247"/>
      <c r="AU2169" s="247"/>
      <c r="AW2169" s="116"/>
    </row>
    <row r="2170" spans="39:49" ht="24" customHeight="1">
      <c r="AM2170" s="247"/>
      <c r="AN2170" s="247"/>
      <c r="AO2170" s="247"/>
      <c r="AP2170" s="247"/>
      <c r="AQ2170" s="247"/>
      <c r="AR2170" s="247"/>
      <c r="AS2170" s="247"/>
      <c r="AT2170" s="247"/>
      <c r="AU2170" s="247"/>
      <c r="AW2170" s="116"/>
    </row>
    <row r="2171" spans="39:49" ht="13.5" customHeight="1">
      <c r="AM2171" s="247"/>
      <c r="AN2171" s="247"/>
      <c r="AO2171" s="247"/>
      <c r="AP2171" s="247"/>
      <c r="AQ2171" s="247"/>
      <c r="AR2171" s="247"/>
      <c r="AS2171" s="247"/>
      <c r="AT2171" s="247"/>
      <c r="AU2171" s="247"/>
      <c r="AW2171" s="116"/>
    </row>
    <row r="2172" spans="39:49" ht="24" customHeight="1">
      <c r="AM2172" s="247"/>
      <c r="AN2172" s="247"/>
      <c r="AO2172" s="247"/>
      <c r="AP2172" s="247"/>
      <c r="AQ2172" s="247"/>
      <c r="AR2172" s="247"/>
      <c r="AS2172" s="247"/>
      <c r="AT2172" s="247"/>
      <c r="AU2172" s="247"/>
      <c r="AW2172" s="116"/>
    </row>
    <row r="2173" spans="39:49" ht="13.5" customHeight="1">
      <c r="AM2173" s="247"/>
      <c r="AN2173" s="247"/>
      <c r="AO2173" s="247"/>
      <c r="AP2173" s="247"/>
      <c r="AQ2173" s="247"/>
      <c r="AR2173" s="247"/>
      <c r="AS2173" s="247"/>
      <c r="AT2173" s="247"/>
      <c r="AU2173" s="247"/>
      <c r="AW2173" s="116"/>
    </row>
    <row r="2174" spans="39:49" ht="24" customHeight="1">
      <c r="AM2174" s="247"/>
      <c r="AN2174" s="247"/>
      <c r="AO2174" s="247"/>
      <c r="AP2174" s="247"/>
      <c r="AQ2174" s="247"/>
      <c r="AR2174" s="247"/>
      <c r="AS2174" s="247"/>
      <c r="AT2174" s="247"/>
      <c r="AU2174" s="247"/>
      <c r="AW2174" s="116"/>
    </row>
    <row r="2175" spans="39:49" ht="13.5" customHeight="1">
      <c r="AM2175" s="247"/>
      <c r="AN2175" s="247"/>
      <c r="AO2175" s="247"/>
      <c r="AP2175" s="247"/>
      <c r="AQ2175" s="247"/>
      <c r="AR2175" s="247"/>
      <c r="AS2175" s="247"/>
      <c r="AT2175" s="247"/>
      <c r="AU2175" s="247"/>
      <c r="AW2175" s="116"/>
    </row>
    <row r="2176" spans="39:49" ht="24" customHeight="1">
      <c r="AM2176" s="247"/>
      <c r="AN2176" s="247"/>
      <c r="AO2176" s="247"/>
      <c r="AP2176" s="247"/>
      <c r="AQ2176" s="247"/>
      <c r="AR2176" s="247"/>
      <c r="AS2176" s="247"/>
      <c r="AT2176" s="247"/>
      <c r="AU2176" s="247"/>
      <c r="AW2176" s="116"/>
    </row>
    <row r="2177" spans="39:49" ht="13.5" customHeight="1">
      <c r="AM2177" s="247"/>
      <c r="AN2177" s="247"/>
      <c r="AO2177" s="247"/>
      <c r="AP2177" s="247"/>
      <c r="AQ2177" s="247"/>
      <c r="AR2177" s="247"/>
      <c r="AS2177" s="247"/>
      <c r="AT2177" s="247"/>
      <c r="AU2177" s="247"/>
      <c r="AW2177" s="116"/>
    </row>
    <row r="2178" spans="39:49" ht="24" customHeight="1">
      <c r="AM2178" s="247"/>
      <c r="AN2178" s="247"/>
      <c r="AO2178" s="247"/>
      <c r="AP2178" s="247"/>
      <c r="AQ2178" s="247"/>
      <c r="AR2178" s="247"/>
      <c r="AS2178" s="247"/>
      <c r="AT2178" s="247"/>
      <c r="AU2178" s="247"/>
      <c r="AW2178" s="116"/>
    </row>
    <row r="2179" spans="39:49" ht="13.5" customHeight="1">
      <c r="AM2179" s="247"/>
      <c r="AN2179" s="247"/>
      <c r="AO2179" s="247"/>
      <c r="AP2179" s="247"/>
      <c r="AQ2179" s="247"/>
      <c r="AR2179" s="247"/>
      <c r="AS2179" s="247"/>
      <c r="AT2179" s="247"/>
      <c r="AU2179" s="247"/>
      <c r="AW2179" s="116"/>
    </row>
    <row r="2180" spans="39:49" ht="24" customHeight="1">
      <c r="AM2180" s="247"/>
      <c r="AN2180" s="247"/>
      <c r="AO2180" s="247"/>
      <c r="AP2180" s="247"/>
      <c r="AQ2180" s="247"/>
      <c r="AR2180" s="247"/>
      <c r="AS2180" s="247"/>
      <c r="AT2180" s="247"/>
      <c r="AU2180" s="247"/>
      <c r="AW2180" s="116"/>
    </row>
    <row r="2181" spans="39:49" ht="13.5" customHeight="1">
      <c r="AM2181" s="247"/>
      <c r="AN2181" s="247"/>
      <c r="AO2181" s="247"/>
      <c r="AP2181" s="247"/>
      <c r="AQ2181" s="247"/>
      <c r="AR2181" s="247"/>
      <c r="AS2181" s="247"/>
      <c r="AT2181" s="247"/>
      <c r="AU2181" s="247"/>
      <c r="AW2181" s="116"/>
    </row>
    <row r="2182" spans="39:49" ht="24" customHeight="1">
      <c r="AM2182" s="247"/>
      <c r="AN2182" s="247"/>
      <c r="AO2182" s="247"/>
      <c r="AP2182" s="247"/>
      <c r="AQ2182" s="247"/>
      <c r="AR2182" s="247"/>
      <c r="AS2182" s="247"/>
      <c r="AT2182" s="247"/>
      <c r="AU2182" s="247"/>
      <c r="AW2182" s="116"/>
    </row>
    <row r="2183" spans="39:49" ht="13.5" customHeight="1">
      <c r="AM2183" s="247"/>
      <c r="AN2183" s="247"/>
      <c r="AO2183" s="247"/>
      <c r="AP2183" s="247"/>
      <c r="AQ2183" s="247"/>
      <c r="AR2183" s="247"/>
      <c r="AS2183" s="247"/>
      <c r="AT2183" s="247"/>
      <c r="AU2183" s="247"/>
      <c r="AW2183" s="116"/>
    </row>
    <row r="2184" spans="39:49" ht="24" customHeight="1">
      <c r="AM2184" s="247"/>
      <c r="AN2184" s="247"/>
      <c r="AO2184" s="247"/>
      <c r="AP2184" s="247"/>
      <c r="AQ2184" s="247"/>
      <c r="AR2184" s="247"/>
      <c r="AS2184" s="247"/>
      <c r="AT2184" s="247"/>
      <c r="AU2184" s="247"/>
      <c r="AW2184" s="116"/>
    </row>
    <row r="2185" spans="39:49" ht="13.5" customHeight="1">
      <c r="AM2185" s="247"/>
      <c r="AN2185" s="247"/>
      <c r="AO2185" s="247"/>
      <c r="AP2185" s="247"/>
      <c r="AQ2185" s="247"/>
      <c r="AR2185" s="247"/>
      <c r="AS2185" s="247"/>
      <c r="AT2185" s="247"/>
      <c r="AU2185" s="247"/>
      <c r="AW2185" s="116"/>
    </row>
    <row r="2186" spans="39:49" ht="24" customHeight="1">
      <c r="AM2186" s="247"/>
      <c r="AN2186" s="247"/>
      <c r="AO2186" s="247"/>
      <c r="AP2186" s="247"/>
      <c r="AQ2186" s="247"/>
      <c r="AR2186" s="247"/>
      <c r="AS2186" s="247"/>
      <c r="AT2186" s="247"/>
      <c r="AU2186" s="247"/>
      <c r="AW2186" s="116"/>
    </row>
    <row r="2187" spans="39:49" ht="13.5" customHeight="1">
      <c r="AM2187" s="247"/>
      <c r="AN2187" s="247"/>
      <c r="AO2187" s="247"/>
      <c r="AP2187" s="247"/>
      <c r="AQ2187" s="247"/>
      <c r="AR2187" s="247"/>
      <c r="AS2187" s="247"/>
      <c r="AT2187" s="247"/>
      <c r="AU2187" s="247"/>
      <c r="AW2187" s="116"/>
    </row>
    <row r="2188" spans="39:49" ht="24" customHeight="1">
      <c r="AM2188" s="247"/>
      <c r="AN2188" s="247"/>
      <c r="AO2188" s="247"/>
      <c r="AP2188" s="247"/>
      <c r="AQ2188" s="247"/>
      <c r="AR2188" s="247"/>
      <c r="AS2188" s="247"/>
      <c r="AT2188" s="247"/>
      <c r="AU2188" s="247"/>
      <c r="AW2188" s="116"/>
    </row>
    <row r="2189" spans="39:49" ht="13.5" customHeight="1">
      <c r="AM2189" s="247"/>
      <c r="AN2189" s="247"/>
      <c r="AO2189" s="247"/>
      <c r="AP2189" s="247"/>
      <c r="AQ2189" s="247"/>
      <c r="AR2189" s="247"/>
      <c r="AS2189" s="247"/>
      <c r="AT2189" s="247"/>
      <c r="AU2189" s="247"/>
      <c r="AW2189" s="116"/>
    </row>
    <row r="2190" spans="39:49" ht="24" customHeight="1">
      <c r="AM2190" s="247"/>
      <c r="AN2190" s="247"/>
      <c r="AO2190" s="247"/>
      <c r="AP2190" s="247"/>
      <c r="AQ2190" s="247"/>
      <c r="AR2190" s="247"/>
      <c r="AS2190" s="247"/>
      <c r="AT2190" s="247"/>
      <c r="AU2190" s="247"/>
      <c r="AW2190" s="116"/>
    </row>
    <row r="2191" spans="39:49" ht="13.5" customHeight="1">
      <c r="AM2191" s="247"/>
      <c r="AN2191" s="247"/>
      <c r="AO2191" s="247"/>
      <c r="AP2191" s="247"/>
      <c r="AQ2191" s="247"/>
      <c r="AR2191" s="247"/>
      <c r="AS2191" s="247"/>
      <c r="AT2191" s="247"/>
      <c r="AU2191" s="247"/>
      <c r="AW2191" s="116"/>
    </row>
    <row r="2192" spans="39:49" ht="24" customHeight="1">
      <c r="AM2192" s="247"/>
      <c r="AN2192" s="247"/>
      <c r="AO2192" s="247"/>
      <c r="AP2192" s="247"/>
      <c r="AQ2192" s="247"/>
      <c r="AR2192" s="247"/>
      <c r="AS2192" s="247"/>
      <c r="AT2192" s="247"/>
      <c r="AU2192" s="247"/>
      <c r="AW2192" s="116"/>
    </row>
    <row r="2193" spans="39:49" ht="13.5" customHeight="1">
      <c r="AM2193" s="247"/>
      <c r="AN2193" s="247"/>
      <c r="AO2193" s="247"/>
      <c r="AP2193" s="247"/>
      <c r="AQ2193" s="247"/>
      <c r="AR2193" s="247"/>
      <c r="AS2193" s="247"/>
      <c r="AT2193" s="247"/>
      <c r="AU2193" s="247"/>
      <c r="AW2193" s="116"/>
    </row>
    <row r="2194" spans="39:49" ht="24" customHeight="1">
      <c r="AM2194" s="247"/>
      <c r="AN2194" s="247"/>
      <c r="AO2194" s="247"/>
      <c r="AP2194" s="247"/>
      <c r="AQ2194" s="247"/>
      <c r="AR2194" s="247"/>
      <c r="AS2194" s="247"/>
      <c r="AT2194" s="247"/>
      <c r="AU2194" s="247"/>
      <c r="AW2194" s="116"/>
    </row>
    <row r="2195" spans="39:49" ht="13.5" customHeight="1">
      <c r="AM2195" s="247"/>
      <c r="AN2195" s="247"/>
      <c r="AO2195" s="247"/>
      <c r="AP2195" s="247"/>
      <c r="AQ2195" s="247"/>
      <c r="AR2195" s="247"/>
      <c r="AS2195" s="247"/>
      <c r="AT2195" s="247"/>
      <c r="AU2195" s="247"/>
      <c r="AW2195" s="116"/>
    </row>
    <row r="2196" spans="39:49" ht="24" customHeight="1">
      <c r="AM2196" s="247"/>
      <c r="AN2196" s="247"/>
      <c r="AO2196" s="247"/>
      <c r="AP2196" s="247"/>
      <c r="AQ2196" s="247"/>
      <c r="AR2196" s="247"/>
      <c r="AS2196" s="247"/>
      <c r="AT2196" s="247"/>
      <c r="AU2196" s="247"/>
      <c r="AW2196" s="116"/>
    </row>
    <row r="2197" spans="39:49" ht="13.5" customHeight="1">
      <c r="AM2197" s="247"/>
      <c r="AN2197" s="247"/>
      <c r="AO2197" s="247"/>
      <c r="AP2197" s="247"/>
      <c r="AQ2197" s="247"/>
      <c r="AR2197" s="247"/>
      <c r="AS2197" s="247"/>
      <c r="AT2197" s="247"/>
      <c r="AU2197" s="247"/>
      <c r="AW2197" s="116"/>
    </row>
    <row r="2198" spans="39:49" ht="24" customHeight="1">
      <c r="AM2198" s="247"/>
      <c r="AN2198" s="247"/>
      <c r="AO2198" s="247"/>
      <c r="AP2198" s="247"/>
      <c r="AQ2198" s="247"/>
      <c r="AR2198" s="247"/>
      <c r="AS2198" s="247"/>
      <c r="AT2198" s="247"/>
      <c r="AU2198" s="247"/>
      <c r="AW2198" s="116"/>
    </row>
    <row r="2199" spans="39:49" ht="13.5" customHeight="1">
      <c r="AM2199" s="247"/>
      <c r="AN2199" s="247"/>
      <c r="AO2199" s="247"/>
      <c r="AP2199" s="247"/>
      <c r="AQ2199" s="247"/>
      <c r="AR2199" s="247"/>
      <c r="AS2199" s="247"/>
      <c r="AT2199" s="247"/>
      <c r="AU2199" s="247"/>
      <c r="AW2199" s="116"/>
    </row>
    <row r="2200" spans="39:49" ht="24" customHeight="1">
      <c r="AM2200" s="247"/>
      <c r="AN2200" s="247"/>
      <c r="AO2200" s="247"/>
      <c r="AP2200" s="247"/>
      <c r="AQ2200" s="247"/>
      <c r="AR2200" s="247"/>
      <c r="AS2200" s="247"/>
      <c r="AT2200" s="247"/>
      <c r="AU2200" s="247"/>
      <c r="AW2200" s="116"/>
    </row>
    <row r="2201" spans="39:49" ht="13.5" customHeight="1">
      <c r="AM2201" s="247"/>
      <c r="AN2201" s="247"/>
      <c r="AO2201" s="247"/>
      <c r="AP2201" s="247"/>
      <c r="AQ2201" s="247"/>
      <c r="AR2201" s="247"/>
      <c r="AS2201" s="247"/>
      <c r="AT2201" s="247"/>
      <c r="AU2201" s="247"/>
      <c r="AW2201" s="116"/>
    </row>
    <row r="2202" spans="39:49" ht="24" customHeight="1">
      <c r="AM2202" s="247"/>
      <c r="AN2202" s="247"/>
      <c r="AO2202" s="247"/>
      <c r="AP2202" s="247"/>
      <c r="AQ2202" s="247"/>
      <c r="AR2202" s="247"/>
      <c r="AS2202" s="247"/>
      <c r="AT2202" s="247"/>
      <c r="AU2202" s="247"/>
      <c r="AW2202" s="116"/>
    </row>
    <row r="2203" spans="39:49" ht="13.5" customHeight="1">
      <c r="AM2203" s="247"/>
      <c r="AN2203" s="247"/>
      <c r="AO2203" s="247"/>
      <c r="AP2203" s="247"/>
      <c r="AQ2203" s="247"/>
      <c r="AR2203" s="247"/>
      <c r="AS2203" s="247"/>
      <c r="AT2203" s="247"/>
      <c r="AU2203" s="247"/>
      <c r="AW2203" s="116"/>
    </row>
    <row r="2204" spans="39:49" ht="24" customHeight="1">
      <c r="AM2204" s="247"/>
      <c r="AN2204" s="247"/>
      <c r="AO2204" s="247"/>
      <c r="AP2204" s="247"/>
      <c r="AQ2204" s="247"/>
      <c r="AR2204" s="247"/>
      <c r="AS2204" s="247"/>
      <c r="AT2204" s="247"/>
      <c r="AU2204" s="247"/>
      <c r="AW2204" s="116"/>
    </row>
    <row r="2205" spans="39:49" ht="13.5" customHeight="1">
      <c r="AM2205" s="247"/>
      <c r="AN2205" s="247"/>
      <c r="AO2205" s="247"/>
      <c r="AP2205" s="247"/>
      <c r="AQ2205" s="247"/>
      <c r="AR2205" s="247"/>
      <c r="AS2205" s="247"/>
      <c r="AT2205" s="247"/>
      <c r="AU2205" s="247"/>
      <c r="AW2205" s="116"/>
    </row>
    <row r="2206" spans="39:49" ht="24" customHeight="1">
      <c r="AM2206" s="247"/>
      <c r="AN2206" s="247"/>
      <c r="AO2206" s="247"/>
      <c r="AP2206" s="247"/>
      <c r="AQ2206" s="247"/>
      <c r="AR2206" s="247"/>
      <c r="AS2206" s="247"/>
      <c r="AT2206" s="247"/>
      <c r="AU2206" s="247"/>
      <c r="AW2206" s="116"/>
    </row>
    <row r="2207" spans="39:49" ht="13.5" customHeight="1">
      <c r="AM2207" s="247"/>
      <c r="AN2207" s="247"/>
      <c r="AO2207" s="247"/>
      <c r="AP2207" s="247"/>
      <c r="AQ2207" s="247"/>
      <c r="AR2207" s="247"/>
      <c r="AS2207" s="247"/>
      <c r="AT2207" s="247"/>
      <c r="AU2207" s="247"/>
      <c r="AW2207" s="116"/>
    </row>
    <row r="2208" spans="39:49" ht="24" customHeight="1">
      <c r="AM2208" s="247"/>
      <c r="AN2208" s="247"/>
      <c r="AO2208" s="247"/>
      <c r="AP2208" s="247"/>
      <c r="AQ2208" s="247"/>
      <c r="AR2208" s="247"/>
      <c r="AS2208" s="247"/>
      <c r="AT2208" s="247"/>
      <c r="AU2208" s="247"/>
      <c r="AW2208" s="116"/>
    </row>
    <row r="2209" spans="39:49" ht="13.5" customHeight="1">
      <c r="AM2209" s="247"/>
      <c r="AN2209" s="247"/>
      <c r="AO2209" s="247"/>
      <c r="AP2209" s="247"/>
      <c r="AQ2209" s="247"/>
      <c r="AR2209" s="247"/>
      <c r="AS2209" s="247"/>
      <c r="AT2209" s="247"/>
      <c r="AU2209" s="247"/>
      <c r="AW2209" s="116"/>
    </row>
    <row r="2210" spans="39:49" ht="24" customHeight="1">
      <c r="AM2210" s="247"/>
      <c r="AN2210" s="247"/>
      <c r="AO2210" s="247"/>
      <c r="AP2210" s="247"/>
      <c r="AQ2210" s="247"/>
      <c r="AR2210" s="247"/>
      <c r="AS2210" s="247"/>
      <c r="AT2210" s="247"/>
      <c r="AU2210" s="247"/>
      <c r="AW2210" s="116"/>
    </row>
    <row r="2211" spans="39:49" ht="13.5" customHeight="1">
      <c r="AM2211" s="247"/>
      <c r="AN2211" s="247"/>
      <c r="AO2211" s="247"/>
      <c r="AP2211" s="247"/>
      <c r="AQ2211" s="247"/>
      <c r="AR2211" s="247"/>
      <c r="AS2211" s="247"/>
      <c r="AT2211" s="247"/>
      <c r="AU2211" s="247"/>
      <c r="AW2211" s="116"/>
    </row>
    <row r="2212" spans="39:49" ht="24" customHeight="1">
      <c r="AM2212" s="247"/>
      <c r="AN2212" s="247"/>
      <c r="AO2212" s="247"/>
      <c r="AP2212" s="247"/>
      <c r="AQ2212" s="247"/>
      <c r="AR2212" s="247"/>
      <c r="AS2212" s="247"/>
      <c r="AT2212" s="247"/>
      <c r="AU2212" s="247"/>
      <c r="AW2212" s="116"/>
    </row>
    <row r="2213" spans="39:49" ht="13.5" customHeight="1">
      <c r="AM2213" s="247"/>
      <c r="AN2213" s="247"/>
      <c r="AO2213" s="247"/>
      <c r="AP2213" s="247"/>
      <c r="AQ2213" s="247"/>
      <c r="AR2213" s="247"/>
      <c r="AS2213" s="247"/>
      <c r="AT2213" s="247"/>
      <c r="AU2213" s="247"/>
      <c r="AW2213" s="116"/>
    </row>
    <row r="2214" spans="39:49" ht="24" customHeight="1">
      <c r="AM2214" s="247"/>
      <c r="AN2214" s="247"/>
      <c r="AO2214" s="247"/>
      <c r="AP2214" s="247"/>
      <c r="AQ2214" s="247"/>
      <c r="AR2214" s="247"/>
      <c r="AS2214" s="247"/>
      <c r="AT2214" s="247"/>
      <c r="AU2214" s="247"/>
      <c r="AW2214" s="116"/>
    </row>
    <row r="2215" spans="39:49" ht="13.5" customHeight="1">
      <c r="AM2215" s="247"/>
      <c r="AN2215" s="247"/>
      <c r="AO2215" s="247"/>
      <c r="AP2215" s="247"/>
      <c r="AQ2215" s="247"/>
      <c r="AR2215" s="247"/>
      <c r="AS2215" s="247"/>
      <c r="AT2215" s="247"/>
      <c r="AU2215" s="247"/>
      <c r="AW2215" s="116"/>
    </row>
    <row r="2216" spans="39:49" ht="24" customHeight="1">
      <c r="AM2216" s="247"/>
      <c r="AN2216" s="247"/>
      <c r="AO2216" s="247"/>
      <c r="AP2216" s="247"/>
      <c r="AQ2216" s="247"/>
      <c r="AR2216" s="247"/>
      <c r="AS2216" s="247"/>
      <c r="AT2216" s="247"/>
      <c r="AU2216" s="247"/>
      <c r="AW2216" s="116"/>
    </row>
    <row r="2217" spans="39:49" ht="13.5" customHeight="1">
      <c r="AM2217" s="247"/>
      <c r="AN2217" s="247"/>
      <c r="AO2217" s="247"/>
      <c r="AP2217" s="247"/>
      <c r="AQ2217" s="247"/>
      <c r="AR2217" s="247"/>
      <c r="AS2217" s="247"/>
      <c r="AT2217" s="247"/>
      <c r="AU2217" s="247"/>
      <c r="AW2217" s="116"/>
    </row>
    <row r="2218" spans="39:49" ht="24" customHeight="1">
      <c r="AM2218" s="247"/>
      <c r="AN2218" s="247"/>
      <c r="AO2218" s="247"/>
      <c r="AP2218" s="247"/>
      <c r="AQ2218" s="247"/>
      <c r="AR2218" s="247"/>
      <c r="AS2218" s="247"/>
      <c r="AT2218" s="247"/>
      <c r="AU2218" s="247"/>
      <c r="AW2218" s="116"/>
    </row>
    <row r="2219" spans="39:49" ht="13.5" customHeight="1">
      <c r="AM2219" s="247"/>
      <c r="AN2219" s="247"/>
      <c r="AO2219" s="247"/>
      <c r="AP2219" s="247"/>
      <c r="AQ2219" s="247"/>
      <c r="AR2219" s="247"/>
      <c r="AS2219" s="247"/>
      <c r="AT2219" s="247"/>
      <c r="AU2219" s="247"/>
      <c r="AW2219" s="116"/>
    </row>
    <row r="2220" spans="39:49" ht="24" customHeight="1">
      <c r="AM2220" s="247"/>
      <c r="AN2220" s="247"/>
      <c r="AO2220" s="247"/>
      <c r="AP2220" s="247"/>
      <c r="AQ2220" s="247"/>
      <c r="AR2220" s="247"/>
      <c r="AS2220" s="247"/>
      <c r="AT2220" s="247"/>
      <c r="AU2220" s="247"/>
      <c r="AW2220" s="116"/>
    </row>
    <row r="2221" spans="39:49" ht="13.5" customHeight="1">
      <c r="AM2221" s="247"/>
      <c r="AN2221" s="247"/>
      <c r="AO2221" s="247"/>
      <c r="AP2221" s="247"/>
      <c r="AQ2221" s="247"/>
      <c r="AR2221" s="247"/>
      <c r="AS2221" s="247"/>
      <c r="AT2221" s="247"/>
      <c r="AU2221" s="247"/>
      <c r="AW2221" s="116"/>
    </row>
    <row r="2222" spans="39:49" ht="24" customHeight="1">
      <c r="AM2222" s="247"/>
      <c r="AN2222" s="247"/>
      <c r="AO2222" s="247"/>
      <c r="AP2222" s="247"/>
      <c r="AQ2222" s="247"/>
      <c r="AR2222" s="247"/>
      <c r="AS2222" s="247"/>
      <c r="AT2222" s="247"/>
      <c r="AU2222" s="247"/>
      <c r="AW2222" s="116"/>
    </row>
    <row r="2223" spans="39:49" ht="13.5" customHeight="1">
      <c r="AM2223" s="247"/>
      <c r="AN2223" s="247"/>
      <c r="AO2223" s="247"/>
      <c r="AP2223" s="247"/>
      <c r="AQ2223" s="247"/>
      <c r="AR2223" s="247"/>
      <c r="AS2223" s="247"/>
      <c r="AT2223" s="247"/>
      <c r="AU2223" s="247"/>
      <c r="AW2223" s="116"/>
    </row>
    <row r="2224" spans="39:49" ht="24" customHeight="1">
      <c r="AM2224" s="247"/>
      <c r="AN2224" s="247"/>
      <c r="AO2224" s="247"/>
      <c r="AP2224" s="247"/>
      <c r="AQ2224" s="247"/>
      <c r="AR2224" s="247"/>
      <c r="AS2224" s="247"/>
      <c r="AT2224" s="247"/>
      <c r="AU2224" s="247"/>
      <c r="AW2224" s="116"/>
    </row>
    <row r="2225" spans="39:49" ht="13.5" customHeight="1">
      <c r="AM2225" s="247"/>
      <c r="AN2225" s="247"/>
      <c r="AO2225" s="247"/>
      <c r="AP2225" s="247"/>
      <c r="AQ2225" s="247"/>
      <c r="AR2225" s="247"/>
      <c r="AS2225" s="247"/>
      <c r="AT2225" s="247"/>
      <c r="AU2225" s="247"/>
      <c r="AW2225" s="116"/>
    </row>
    <row r="2226" spans="39:49" ht="24" customHeight="1">
      <c r="AM2226" s="247"/>
      <c r="AN2226" s="247"/>
      <c r="AO2226" s="247"/>
      <c r="AP2226" s="247"/>
      <c r="AQ2226" s="247"/>
      <c r="AR2226" s="247"/>
      <c r="AS2226" s="247"/>
      <c r="AT2226" s="247"/>
      <c r="AU2226" s="247"/>
      <c r="AW2226" s="116"/>
    </row>
    <row r="2227" spans="39:49" ht="13.5" customHeight="1">
      <c r="AM2227" s="247"/>
      <c r="AN2227" s="247"/>
      <c r="AO2227" s="247"/>
      <c r="AP2227" s="247"/>
      <c r="AQ2227" s="247"/>
      <c r="AR2227" s="247"/>
      <c r="AS2227" s="247"/>
      <c r="AT2227" s="247"/>
      <c r="AU2227" s="247"/>
      <c r="AW2227" s="116"/>
    </row>
    <row r="2228" spans="39:49" ht="24" customHeight="1">
      <c r="AM2228" s="247"/>
      <c r="AN2228" s="247"/>
      <c r="AO2228" s="247"/>
      <c r="AP2228" s="247"/>
      <c r="AQ2228" s="247"/>
      <c r="AR2228" s="247"/>
      <c r="AS2228" s="247"/>
      <c r="AT2228" s="247"/>
      <c r="AU2228" s="247"/>
      <c r="AW2228" s="116"/>
    </row>
    <row r="2229" spans="39:49" ht="13.5" customHeight="1">
      <c r="AM2229" s="247"/>
      <c r="AN2229" s="247"/>
      <c r="AO2229" s="247"/>
      <c r="AP2229" s="247"/>
      <c r="AQ2229" s="247"/>
      <c r="AR2229" s="247"/>
      <c r="AS2229" s="247"/>
      <c r="AT2229" s="247"/>
      <c r="AU2229" s="247"/>
      <c r="AW2229" s="116"/>
    </row>
    <row r="2230" spans="39:49" ht="24" customHeight="1">
      <c r="AM2230" s="247"/>
      <c r="AN2230" s="247"/>
      <c r="AO2230" s="247"/>
      <c r="AP2230" s="247"/>
      <c r="AQ2230" s="247"/>
      <c r="AR2230" s="247"/>
      <c r="AS2230" s="247"/>
      <c r="AT2230" s="247"/>
      <c r="AU2230" s="247"/>
      <c r="AW2230" s="116"/>
    </row>
    <row r="2231" spans="39:49" ht="13.5" customHeight="1">
      <c r="AM2231" s="247"/>
      <c r="AN2231" s="247"/>
      <c r="AO2231" s="247"/>
      <c r="AP2231" s="247"/>
      <c r="AQ2231" s="247"/>
      <c r="AR2231" s="247"/>
      <c r="AS2231" s="247"/>
      <c r="AT2231" s="247"/>
      <c r="AU2231" s="247"/>
      <c r="AW2231" s="116"/>
    </row>
    <row r="2232" spans="39:49" ht="24" customHeight="1">
      <c r="AM2232" s="247"/>
      <c r="AN2232" s="247"/>
      <c r="AO2232" s="247"/>
      <c r="AP2232" s="247"/>
      <c r="AQ2232" s="247"/>
      <c r="AR2232" s="247"/>
      <c r="AS2232" s="247"/>
      <c r="AT2232" s="247"/>
      <c r="AU2232" s="247"/>
      <c r="AW2232" s="116"/>
    </row>
    <row r="2233" spans="39:49" ht="13.5" customHeight="1">
      <c r="AM2233" s="247"/>
      <c r="AN2233" s="247"/>
      <c r="AO2233" s="247"/>
      <c r="AP2233" s="247"/>
      <c r="AQ2233" s="247"/>
      <c r="AR2233" s="247"/>
      <c r="AS2233" s="247"/>
      <c r="AT2233" s="247"/>
      <c r="AU2233" s="247"/>
      <c r="AW2233" s="116"/>
    </row>
    <row r="2234" spans="39:49" ht="24" customHeight="1">
      <c r="AM2234" s="247"/>
      <c r="AN2234" s="247"/>
      <c r="AO2234" s="247"/>
      <c r="AP2234" s="247"/>
      <c r="AQ2234" s="247"/>
      <c r="AR2234" s="247"/>
      <c r="AS2234" s="247"/>
      <c r="AT2234" s="247"/>
      <c r="AU2234" s="247"/>
      <c r="AW2234" s="116"/>
    </row>
    <row r="2235" spans="39:49" ht="13.5" customHeight="1">
      <c r="AM2235" s="247"/>
      <c r="AN2235" s="247"/>
      <c r="AO2235" s="247"/>
      <c r="AP2235" s="247"/>
      <c r="AQ2235" s="247"/>
      <c r="AR2235" s="247"/>
      <c r="AS2235" s="247"/>
      <c r="AT2235" s="247"/>
      <c r="AU2235" s="247"/>
      <c r="AW2235" s="116"/>
    </row>
    <row r="2236" spans="39:49" ht="24" customHeight="1">
      <c r="AM2236" s="247"/>
      <c r="AN2236" s="247"/>
      <c r="AO2236" s="247"/>
      <c r="AP2236" s="247"/>
      <c r="AQ2236" s="247"/>
      <c r="AR2236" s="247"/>
      <c r="AS2236" s="247"/>
      <c r="AT2236" s="247"/>
      <c r="AU2236" s="247"/>
      <c r="AW2236" s="116"/>
    </row>
    <row r="2237" spans="39:49" ht="13.5" customHeight="1">
      <c r="AM2237" s="247"/>
      <c r="AN2237" s="247"/>
      <c r="AO2237" s="247"/>
      <c r="AP2237" s="247"/>
      <c r="AQ2237" s="247"/>
      <c r="AR2237" s="247"/>
      <c r="AS2237" s="247"/>
      <c r="AT2237" s="247"/>
      <c r="AU2237" s="247"/>
      <c r="AW2237" s="116"/>
    </row>
    <row r="2238" spans="39:49" ht="24" customHeight="1">
      <c r="AM2238" s="247"/>
      <c r="AN2238" s="247"/>
      <c r="AO2238" s="247"/>
      <c r="AP2238" s="247"/>
      <c r="AQ2238" s="247"/>
      <c r="AR2238" s="247"/>
      <c r="AS2238" s="247"/>
      <c r="AT2238" s="247"/>
      <c r="AU2238" s="247"/>
      <c r="AW2238" s="116"/>
    </row>
    <row r="2239" spans="39:49" ht="13.5" customHeight="1">
      <c r="AM2239" s="247"/>
      <c r="AN2239" s="247"/>
      <c r="AO2239" s="247"/>
      <c r="AP2239" s="247"/>
      <c r="AQ2239" s="247"/>
      <c r="AR2239" s="247"/>
      <c r="AS2239" s="247"/>
      <c r="AT2239" s="247"/>
      <c r="AU2239" s="247"/>
      <c r="AW2239" s="116"/>
    </row>
    <row r="2240" spans="39:49" ht="24" customHeight="1">
      <c r="AM2240" s="247"/>
      <c r="AN2240" s="247"/>
      <c r="AO2240" s="247"/>
      <c r="AP2240" s="247"/>
      <c r="AQ2240" s="247"/>
      <c r="AR2240" s="247"/>
      <c r="AS2240" s="247"/>
      <c r="AT2240" s="247"/>
      <c r="AU2240" s="247"/>
      <c r="AW2240" s="116"/>
    </row>
    <row r="2241" spans="39:49" ht="13.5" customHeight="1">
      <c r="AM2241" s="247"/>
      <c r="AN2241" s="247"/>
      <c r="AO2241" s="247"/>
      <c r="AP2241" s="247"/>
      <c r="AQ2241" s="247"/>
      <c r="AR2241" s="247"/>
      <c r="AS2241" s="247"/>
      <c r="AT2241" s="247"/>
      <c r="AU2241" s="247"/>
      <c r="AW2241" s="116"/>
    </row>
    <row r="2242" spans="39:49" ht="24" customHeight="1">
      <c r="AM2242" s="247"/>
      <c r="AN2242" s="247"/>
      <c r="AO2242" s="247"/>
      <c r="AP2242" s="247"/>
      <c r="AQ2242" s="247"/>
      <c r="AR2242" s="247"/>
      <c r="AS2242" s="247"/>
      <c r="AT2242" s="247"/>
      <c r="AU2242" s="247"/>
      <c r="AW2242" s="116"/>
    </row>
    <row r="2243" spans="39:49" ht="13.5" customHeight="1">
      <c r="AM2243" s="247"/>
      <c r="AN2243" s="247"/>
      <c r="AO2243" s="247"/>
      <c r="AP2243" s="247"/>
      <c r="AQ2243" s="247"/>
      <c r="AR2243" s="247"/>
      <c r="AS2243" s="247"/>
      <c r="AT2243" s="247"/>
      <c r="AU2243" s="247"/>
      <c r="AW2243" s="116"/>
    </row>
    <row r="2244" spans="39:49" ht="24" customHeight="1">
      <c r="AM2244" s="247"/>
      <c r="AN2244" s="247"/>
      <c r="AO2244" s="247"/>
      <c r="AP2244" s="247"/>
      <c r="AQ2244" s="247"/>
      <c r="AR2244" s="247"/>
      <c r="AS2244" s="247"/>
      <c r="AT2244" s="247"/>
      <c r="AU2244" s="247"/>
      <c r="AW2244" s="116"/>
    </row>
    <row r="2245" spans="39:49" ht="13.5" customHeight="1">
      <c r="AM2245" s="247"/>
      <c r="AN2245" s="247"/>
      <c r="AO2245" s="247"/>
      <c r="AP2245" s="247"/>
      <c r="AQ2245" s="247"/>
      <c r="AR2245" s="247"/>
      <c r="AS2245" s="247"/>
      <c r="AT2245" s="247"/>
      <c r="AU2245" s="247"/>
      <c r="AW2245" s="116"/>
    </row>
    <row r="2246" spans="39:49" ht="24" customHeight="1">
      <c r="AM2246" s="247"/>
      <c r="AN2246" s="247"/>
      <c r="AO2246" s="247"/>
      <c r="AP2246" s="247"/>
      <c r="AQ2246" s="247"/>
      <c r="AR2246" s="247"/>
      <c r="AS2246" s="247"/>
      <c r="AT2246" s="247"/>
      <c r="AU2246" s="247"/>
      <c r="AW2246" s="116"/>
    </row>
    <row r="2247" spans="39:49" ht="13.5" customHeight="1">
      <c r="AM2247" s="247"/>
      <c r="AN2247" s="247"/>
      <c r="AO2247" s="247"/>
      <c r="AP2247" s="247"/>
      <c r="AQ2247" s="247"/>
      <c r="AR2247" s="247"/>
      <c r="AS2247" s="247"/>
      <c r="AT2247" s="247"/>
      <c r="AU2247" s="247"/>
      <c r="AW2247" s="116"/>
    </row>
    <row r="2248" spans="39:49" ht="24" customHeight="1">
      <c r="AM2248" s="247"/>
      <c r="AN2248" s="247"/>
      <c r="AO2248" s="247"/>
      <c r="AP2248" s="247"/>
      <c r="AQ2248" s="247"/>
      <c r="AR2248" s="247"/>
      <c r="AS2248" s="247"/>
      <c r="AT2248" s="247"/>
      <c r="AU2248" s="247"/>
      <c r="AW2248" s="116"/>
    </row>
    <row r="2249" spans="39:49" ht="13.5" customHeight="1">
      <c r="AM2249" s="247"/>
      <c r="AN2249" s="247"/>
      <c r="AO2249" s="247"/>
      <c r="AP2249" s="247"/>
      <c r="AQ2249" s="247"/>
      <c r="AR2249" s="247"/>
      <c r="AS2249" s="247"/>
      <c r="AT2249" s="247"/>
      <c r="AU2249" s="247"/>
      <c r="AW2249" s="116"/>
    </row>
    <row r="2250" spans="39:49" ht="24" customHeight="1">
      <c r="AM2250" s="247"/>
      <c r="AN2250" s="247"/>
      <c r="AO2250" s="247"/>
      <c r="AP2250" s="247"/>
      <c r="AQ2250" s="247"/>
      <c r="AR2250" s="247"/>
      <c r="AS2250" s="247"/>
      <c r="AT2250" s="247"/>
      <c r="AU2250" s="247"/>
      <c r="AW2250" s="116"/>
    </row>
    <row r="2251" spans="39:49" ht="13.5" customHeight="1">
      <c r="AM2251" s="247"/>
      <c r="AN2251" s="247"/>
      <c r="AO2251" s="247"/>
      <c r="AP2251" s="247"/>
      <c r="AQ2251" s="247"/>
      <c r="AR2251" s="247"/>
      <c r="AS2251" s="247"/>
      <c r="AT2251" s="247"/>
      <c r="AU2251" s="247"/>
      <c r="AW2251" s="116"/>
    </row>
    <row r="2252" spans="39:49" ht="24" customHeight="1">
      <c r="AM2252" s="247"/>
      <c r="AN2252" s="247"/>
      <c r="AO2252" s="247"/>
      <c r="AP2252" s="247"/>
      <c r="AQ2252" s="247"/>
      <c r="AR2252" s="247"/>
      <c r="AS2252" s="247"/>
      <c r="AT2252" s="247"/>
      <c r="AU2252" s="247"/>
      <c r="AW2252" s="116"/>
    </row>
    <row r="2253" spans="39:49" ht="13.5" customHeight="1">
      <c r="AM2253" s="247"/>
      <c r="AN2253" s="247"/>
      <c r="AO2253" s="247"/>
      <c r="AP2253" s="247"/>
      <c r="AQ2253" s="247"/>
      <c r="AR2253" s="247"/>
      <c r="AS2253" s="247"/>
      <c r="AT2253" s="247"/>
      <c r="AU2253" s="247"/>
      <c r="AW2253" s="116"/>
    </row>
    <row r="2254" spans="39:49" ht="24" customHeight="1">
      <c r="AM2254" s="247"/>
      <c r="AN2254" s="247"/>
      <c r="AO2254" s="247"/>
      <c r="AP2254" s="247"/>
      <c r="AQ2254" s="247"/>
      <c r="AR2254" s="247"/>
      <c r="AS2254" s="247"/>
      <c r="AT2254" s="247"/>
      <c r="AU2254" s="247"/>
      <c r="AW2254" s="116"/>
    </row>
    <row r="2255" spans="39:49" ht="13.5" customHeight="1">
      <c r="AM2255" s="247"/>
      <c r="AN2255" s="247"/>
      <c r="AO2255" s="247"/>
      <c r="AP2255" s="247"/>
      <c r="AQ2255" s="247"/>
      <c r="AR2255" s="247"/>
      <c r="AS2255" s="247"/>
      <c r="AT2255" s="247"/>
      <c r="AU2255" s="247"/>
      <c r="AW2255" s="116"/>
    </row>
    <row r="2256" spans="39:49" ht="24" customHeight="1">
      <c r="AM2256" s="247"/>
      <c r="AN2256" s="247"/>
      <c r="AO2256" s="247"/>
      <c r="AP2256" s="247"/>
      <c r="AQ2256" s="247"/>
      <c r="AR2256" s="247"/>
      <c r="AS2256" s="247"/>
      <c r="AT2256" s="247"/>
      <c r="AU2256" s="247"/>
      <c r="AW2256" s="116"/>
    </row>
    <row r="2257" spans="39:49" ht="13.5" customHeight="1">
      <c r="AM2257" s="247"/>
      <c r="AN2257" s="247"/>
      <c r="AO2257" s="247"/>
      <c r="AP2257" s="247"/>
      <c r="AQ2257" s="247"/>
      <c r="AR2257" s="247"/>
      <c r="AS2257" s="247"/>
      <c r="AT2257" s="247"/>
      <c r="AU2257" s="247"/>
      <c r="AW2257" s="116"/>
    </row>
    <row r="2258" spans="39:49" ht="24" customHeight="1">
      <c r="AM2258" s="247"/>
      <c r="AN2258" s="247"/>
      <c r="AO2258" s="247"/>
      <c r="AP2258" s="247"/>
      <c r="AQ2258" s="247"/>
      <c r="AR2258" s="247"/>
      <c r="AS2258" s="247"/>
      <c r="AT2258" s="247"/>
      <c r="AU2258" s="247"/>
      <c r="AW2258" s="116"/>
    </row>
    <row r="2259" spans="39:49" ht="13.5" customHeight="1">
      <c r="AM2259" s="247"/>
      <c r="AN2259" s="247"/>
      <c r="AO2259" s="247"/>
      <c r="AP2259" s="247"/>
      <c r="AQ2259" s="247"/>
      <c r="AR2259" s="247"/>
      <c r="AS2259" s="247"/>
      <c r="AT2259" s="247"/>
      <c r="AU2259" s="247"/>
      <c r="AW2259" s="116"/>
    </row>
    <row r="2260" spans="39:49" ht="24" customHeight="1">
      <c r="AM2260" s="247"/>
      <c r="AN2260" s="247"/>
      <c r="AO2260" s="247"/>
      <c r="AP2260" s="247"/>
      <c r="AQ2260" s="247"/>
      <c r="AR2260" s="247"/>
      <c r="AS2260" s="247"/>
      <c r="AT2260" s="247"/>
      <c r="AU2260" s="247"/>
      <c r="AW2260" s="116"/>
    </row>
    <row r="2261" spans="39:49" ht="13.5" customHeight="1">
      <c r="AM2261" s="247"/>
      <c r="AN2261" s="247"/>
      <c r="AO2261" s="247"/>
      <c r="AP2261" s="247"/>
      <c r="AQ2261" s="247"/>
      <c r="AR2261" s="247"/>
      <c r="AS2261" s="247"/>
      <c r="AT2261" s="247"/>
      <c r="AU2261" s="247"/>
      <c r="AW2261" s="116"/>
    </row>
    <row r="2262" spans="39:49" ht="24" customHeight="1">
      <c r="AM2262" s="247"/>
      <c r="AN2262" s="247"/>
      <c r="AO2262" s="247"/>
      <c r="AP2262" s="247"/>
      <c r="AQ2262" s="247"/>
      <c r="AR2262" s="247"/>
      <c r="AS2262" s="247"/>
      <c r="AT2262" s="247"/>
      <c r="AU2262" s="247"/>
      <c r="AW2262" s="116"/>
    </row>
    <row r="2263" spans="39:49" ht="13.5" customHeight="1">
      <c r="AM2263" s="247"/>
      <c r="AN2263" s="247"/>
      <c r="AO2263" s="247"/>
      <c r="AP2263" s="247"/>
      <c r="AQ2263" s="247"/>
      <c r="AR2263" s="247"/>
      <c r="AS2263" s="247"/>
      <c r="AT2263" s="247"/>
      <c r="AU2263" s="247"/>
      <c r="AW2263" s="116"/>
    </row>
    <row r="2264" spans="39:49" ht="24" customHeight="1">
      <c r="AM2264" s="247"/>
      <c r="AN2264" s="247"/>
      <c r="AO2264" s="247"/>
      <c r="AP2264" s="247"/>
      <c r="AQ2264" s="247"/>
      <c r="AR2264" s="247"/>
      <c r="AS2264" s="247"/>
      <c r="AT2264" s="247"/>
      <c r="AU2264" s="247"/>
      <c r="AW2264" s="116"/>
    </row>
    <row r="2265" spans="39:49" ht="13.5" customHeight="1">
      <c r="AM2265" s="247"/>
      <c r="AN2265" s="247"/>
      <c r="AO2265" s="247"/>
      <c r="AP2265" s="247"/>
      <c r="AQ2265" s="247"/>
      <c r="AR2265" s="247"/>
      <c r="AS2265" s="247"/>
      <c r="AT2265" s="247"/>
      <c r="AU2265" s="247"/>
      <c r="AW2265" s="116"/>
    </row>
    <row r="2266" spans="39:49" ht="24" customHeight="1">
      <c r="AM2266" s="247"/>
      <c r="AN2266" s="247"/>
      <c r="AO2266" s="247"/>
      <c r="AP2266" s="247"/>
      <c r="AQ2266" s="247"/>
      <c r="AR2266" s="247"/>
      <c r="AS2266" s="247"/>
      <c r="AT2266" s="247"/>
      <c r="AU2266" s="247"/>
      <c r="AW2266" s="116"/>
    </row>
    <row r="2267" spans="39:49" ht="13.5" customHeight="1">
      <c r="AM2267" s="247"/>
      <c r="AN2267" s="247"/>
      <c r="AO2267" s="247"/>
      <c r="AP2267" s="247"/>
      <c r="AQ2267" s="247"/>
      <c r="AR2267" s="247"/>
      <c r="AS2267" s="247"/>
      <c r="AT2267" s="247"/>
      <c r="AU2267" s="247"/>
      <c r="AW2267" s="116"/>
    </row>
    <row r="2268" spans="39:49" ht="24" customHeight="1">
      <c r="AM2268" s="247"/>
      <c r="AN2268" s="247"/>
      <c r="AO2268" s="247"/>
      <c r="AP2268" s="247"/>
      <c r="AQ2268" s="247"/>
      <c r="AR2268" s="247"/>
      <c r="AS2268" s="247"/>
      <c r="AT2268" s="247"/>
      <c r="AU2268" s="247"/>
      <c r="AW2268" s="116"/>
    </row>
    <row r="2269" spans="39:49" ht="13.5" customHeight="1">
      <c r="AM2269" s="247"/>
      <c r="AN2269" s="247"/>
      <c r="AO2269" s="247"/>
      <c r="AP2269" s="247"/>
      <c r="AQ2269" s="247"/>
      <c r="AR2269" s="247"/>
      <c r="AS2269" s="247"/>
      <c r="AT2269" s="247"/>
      <c r="AU2269" s="247"/>
      <c r="AW2269" s="116"/>
    </row>
    <row r="2270" spans="39:49" ht="24" customHeight="1">
      <c r="AM2270" s="247"/>
      <c r="AN2270" s="247"/>
      <c r="AO2270" s="247"/>
      <c r="AP2270" s="247"/>
      <c r="AQ2270" s="247"/>
      <c r="AR2270" s="247"/>
      <c r="AS2270" s="247"/>
      <c r="AT2270" s="247"/>
      <c r="AU2270" s="247"/>
      <c r="AW2270" s="116"/>
    </row>
    <row r="2271" spans="39:49" ht="13.5" customHeight="1">
      <c r="AM2271" s="247"/>
      <c r="AN2271" s="247"/>
      <c r="AO2271" s="247"/>
      <c r="AP2271" s="247"/>
      <c r="AQ2271" s="247"/>
      <c r="AR2271" s="247"/>
      <c r="AS2271" s="247"/>
      <c r="AT2271" s="247"/>
      <c r="AU2271" s="247"/>
      <c r="AW2271" s="116"/>
    </row>
    <row r="2272" spans="39:49" ht="24" customHeight="1">
      <c r="AM2272" s="247"/>
      <c r="AN2272" s="247"/>
      <c r="AO2272" s="247"/>
      <c r="AP2272" s="247"/>
      <c r="AQ2272" s="247"/>
      <c r="AR2272" s="247"/>
      <c r="AS2272" s="247"/>
      <c r="AT2272" s="247"/>
      <c r="AU2272" s="247"/>
      <c r="AW2272" s="116"/>
    </row>
    <row r="2273" spans="39:49" ht="13.5" customHeight="1">
      <c r="AM2273" s="247"/>
      <c r="AN2273" s="247"/>
      <c r="AO2273" s="247"/>
      <c r="AP2273" s="247"/>
      <c r="AQ2273" s="247"/>
      <c r="AR2273" s="247"/>
      <c r="AS2273" s="247"/>
      <c r="AT2273" s="247"/>
      <c r="AU2273" s="247"/>
      <c r="AW2273" s="116"/>
    </row>
    <row r="2274" spans="39:49" ht="24" customHeight="1">
      <c r="AM2274" s="247"/>
      <c r="AN2274" s="247"/>
      <c r="AO2274" s="247"/>
      <c r="AP2274" s="247"/>
      <c r="AQ2274" s="247"/>
      <c r="AR2274" s="247"/>
      <c r="AS2274" s="247"/>
      <c r="AT2274" s="247"/>
      <c r="AU2274" s="247"/>
      <c r="AW2274" s="116"/>
    </row>
    <row r="2275" spans="39:49" ht="13.5" customHeight="1">
      <c r="AM2275" s="247"/>
      <c r="AN2275" s="247"/>
      <c r="AO2275" s="247"/>
      <c r="AP2275" s="247"/>
      <c r="AQ2275" s="247"/>
      <c r="AR2275" s="247"/>
      <c r="AS2275" s="247"/>
      <c r="AT2275" s="247"/>
      <c r="AU2275" s="247"/>
      <c r="AW2275" s="116"/>
    </row>
    <row r="2276" spans="39:49" ht="24" customHeight="1">
      <c r="AM2276" s="247"/>
      <c r="AN2276" s="247"/>
      <c r="AO2276" s="247"/>
      <c r="AP2276" s="247"/>
      <c r="AQ2276" s="247"/>
      <c r="AR2276" s="247"/>
      <c r="AS2276" s="247"/>
      <c r="AT2276" s="247"/>
      <c r="AU2276" s="247"/>
      <c r="AW2276" s="116"/>
    </row>
    <row r="2277" spans="39:49" ht="13.5" customHeight="1">
      <c r="AM2277" s="247"/>
      <c r="AN2277" s="247"/>
      <c r="AO2277" s="247"/>
      <c r="AP2277" s="247"/>
      <c r="AQ2277" s="247"/>
      <c r="AR2277" s="247"/>
      <c r="AS2277" s="247"/>
      <c r="AT2277" s="247"/>
      <c r="AU2277" s="247"/>
      <c r="AW2277" s="116"/>
    </row>
    <row r="2278" spans="39:49" ht="24" customHeight="1">
      <c r="AM2278" s="247"/>
      <c r="AN2278" s="247"/>
      <c r="AO2278" s="247"/>
      <c r="AP2278" s="247"/>
      <c r="AQ2278" s="247"/>
      <c r="AR2278" s="247"/>
      <c r="AS2278" s="247"/>
      <c r="AT2278" s="247"/>
      <c r="AU2278" s="247"/>
      <c r="AW2278" s="116"/>
    </row>
    <row r="2279" spans="39:49" ht="13.5" customHeight="1">
      <c r="AM2279" s="247"/>
      <c r="AN2279" s="247"/>
      <c r="AO2279" s="247"/>
      <c r="AP2279" s="247"/>
      <c r="AQ2279" s="247"/>
      <c r="AR2279" s="247"/>
      <c r="AS2279" s="247"/>
      <c r="AT2279" s="247"/>
      <c r="AU2279" s="247"/>
      <c r="AW2279" s="116"/>
    </row>
    <row r="2280" spans="39:49" ht="24" customHeight="1">
      <c r="AM2280" s="247"/>
      <c r="AN2280" s="247"/>
      <c r="AO2280" s="247"/>
      <c r="AP2280" s="247"/>
      <c r="AQ2280" s="247"/>
      <c r="AR2280" s="247"/>
      <c r="AS2280" s="247"/>
      <c r="AT2280" s="247"/>
      <c r="AU2280" s="247"/>
      <c r="AW2280" s="116"/>
    </row>
    <row r="2281" spans="39:49" ht="13.5" customHeight="1">
      <c r="AM2281" s="247"/>
      <c r="AN2281" s="247"/>
      <c r="AO2281" s="247"/>
      <c r="AP2281" s="247"/>
      <c r="AQ2281" s="247"/>
      <c r="AR2281" s="247"/>
      <c r="AS2281" s="247"/>
      <c r="AT2281" s="247"/>
      <c r="AU2281" s="247"/>
      <c r="AW2281" s="116"/>
    </row>
    <row r="2282" spans="39:49" ht="24" customHeight="1">
      <c r="AM2282" s="247"/>
      <c r="AN2282" s="247"/>
      <c r="AO2282" s="247"/>
      <c r="AP2282" s="247"/>
      <c r="AQ2282" s="247"/>
      <c r="AR2282" s="247"/>
      <c r="AS2282" s="247"/>
      <c r="AT2282" s="247"/>
      <c r="AU2282" s="247"/>
      <c r="AW2282" s="116"/>
    </row>
    <row r="2283" spans="39:49" ht="13.5" customHeight="1">
      <c r="AM2283" s="247"/>
      <c r="AN2283" s="247"/>
      <c r="AO2283" s="247"/>
      <c r="AP2283" s="247"/>
      <c r="AQ2283" s="247"/>
      <c r="AR2283" s="247"/>
      <c r="AS2283" s="247"/>
      <c r="AT2283" s="247"/>
      <c r="AU2283" s="247"/>
      <c r="AW2283" s="116"/>
    </row>
    <row r="2284" spans="39:49" ht="24" customHeight="1">
      <c r="AM2284" s="247"/>
      <c r="AN2284" s="247"/>
      <c r="AO2284" s="247"/>
      <c r="AP2284" s="247"/>
      <c r="AQ2284" s="247"/>
      <c r="AR2284" s="247"/>
      <c r="AS2284" s="247"/>
      <c r="AT2284" s="247"/>
      <c r="AU2284" s="247"/>
      <c r="AW2284" s="116"/>
    </row>
    <row r="2285" spans="39:49" ht="13.5" customHeight="1">
      <c r="AM2285" s="247"/>
      <c r="AN2285" s="247"/>
      <c r="AO2285" s="247"/>
      <c r="AP2285" s="247"/>
      <c r="AQ2285" s="247"/>
      <c r="AR2285" s="247"/>
      <c r="AS2285" s="247"/>
      <c r="AT2285" s="247"/>
      <c r="AU2285" s="247"/>
      <c r="AW2285" s="116"/>
    </row>
    <row r="2286" spans="39:49" ht="24" customHeight="1">
      <c r="AM2286" s="247"/>
      <c r="AN2286" s="247"/>
      <c r="AO2286" s="247"/>
      <c r="AP2286" s="247"/>
      <c r="AQ2286" s="247"/>
      <c r="AR2286" s="247"/>
      <c r="AS2286" s="247"/>
      <c r="AT2286" s="247"/>
      <c r="AU2286" s="247"/>
      <c r="AW2286" s="116"/>
    </row>
    <row r="2287" spans="39:49" ht="13.5" customHeight="1">
      <c r="AM2287" s="247"/>
      <c r="AN2287" s="247"/>
      <c r="AO2287" s="247"/>
      <c r="AP2287" s="247"/>
      <c r="AQ2287" s="247"/>
      <c r="AR2287" s="247"/>
      <c r="AS2287" s="247"/>
      <c r="AT2287" s="247"/>
      <c r="AU2287" s="247"/>
      <c r="AW2287" s="116"/>
    </row>
    <row r="2288" spans="39:49" ht="24" customHeight="1">
      <c r="AM2288" s="247"/>
      <c r="AN2288" s="247"/>
      <c r="AO2288" s="247"/>
      <c r="AP2288" s="247"/>
      <c r="AQ2288" s="247"/>
      <c r="AR2288" s="247"/>
      <c r="AS2288" s="247"/>
      <c r="AT2288" s="247"/>
      <c r="AU2288" s="247"/>
      <c r="AW2288" s="116"/>
    </row>
    <row r="2289" spans="39:49" ht="13.5" customHeight="1">
      <c r="AM2289" s="247"/>
      <c r="AN2289" s="247"/>
      <c r="AO2289" s="247"/>
      <c r="AP2289" s="247"/>
      <c r="AQ2289" s="247"/>
      <c r="AR2289" s="247"/>
      <c r="AS2289" s="247"/>
      <c r="AT2289" s="247"/>
      <c r="AU2289" s="247"/>
      <c r="AW2289" s="116"/>
    </row>
    <row r="2290" spans="39:49" ht="24" customHeight="1">
      <c r="AM2290" s="247"/>
      <c r="AN2290" s="247"/>
      <c r="AO2290" s="247"/>
      <c r="AP2290" s="247"/>
      <c r="AQ2290" s="247"/>
      <c r="AR2290" s="247"/>
      <c r="AS2290" s="247"/>
      <c r="AT2290" s="247"/>
      <c r="AU2290" s="247"/>
      <c r="AW2290" s="116"/>
    </row>
    <row r="2291" spans="39:49" ht="13.5" customHeight="1">
      <c r="AM2291" s="247"/>
      <c r="AN2291" s="247"/>
      <c r="AO2291" s="247"/>
      <c r="AP2291" s="247"/>
      <c r="AQ2291" s="247"/>
      <c r="AR2291" s="247"/>
      <c r="AS2291" s="247"/>
      <c r="AT2291" s="247"/>
      <c r="AU2291" s="247"/>
      <c r="AW2291" s="116"/>
    </row>
    <row r="2292" spans="39:49" ht="24" customHeight="1">
      <c r="AM2292" s="247"/>
      <c r="AN2292" s="247"/>
      <c r="AO2292" s="247"/>
      <c r="AP2292" s="247"/>
      <c r="AQ2292" s="247"/>
      <c r="AR2292" s="247"/>
      <c r="AS2292" s="247"/>
      <c r="AT2292" s="247"/>
      <c r="AU2292" s="247"/>
      <c r="AW2292" s="116"/>
    </row>
    <row r="2293" spans="39:49" ht="13.5" customHeight="1">
      <c r="AM2293" s="247"/>
      <c r="AN2293" s="247"/>
      <c r="AO2293" s="247"/>
      <c r="AP2293" s="247"/>
      <c r="AQ2293" s="247"/>
      <c r="AR2293" s="247"/>
      <c r="AS2293" s="247"/>
      <c r="AT2293" s="247"/>
      <c r="AU2293" s="247"/>
      <c r="AW2293" s="116"/>
    </row>
    <row r="2294" spans="39:49" ht="24" customHeight="1">
      <c r="AM2294" s="247"/>
      <c r="AN2294" s="247"/>
      <c r="AO2294" s="247"/>
      <c r="AP2294" s="247"/>
      <c r="AQ2294" s="247"/>
      <c r="AR2294" s="247"/>
      <c r="AS2294" s="247"/>
      <c r="AT2294" s="247"/>
      <c r="AU2294" s="247"/>
      <c r="AW2294" s="116"/>
    </row>
    <row r="2295" spans="39:49" ht="13.5" customHeight="1">
      <c r="AM2295" s="247"/>
      <c r="AN2295" s="247"/>
      <c r="AO2295" s="247"/>
      <c r="AP2295" s="247"/>
      <c r="AQ2295" s="247"/>
      <c r="AR2295" s="247"/>
      <c r="AS2295" s="247"/>
      <c r="AT2295" s="247"/>
      <c r="AU2295" s="247"/>
      <c r="AW2295" s="116"/>
    </row>
    <row r="2296" spans="39:49" ht="24" customHeight="1">
      <c r="AM2296" s="247"/>
      <c r="AN2296" s="247"/>
      <c r="AO2296" s="247"/>
      <c r="AP2296" s="247"/>
      <c r="AQ2296" s="247"/>
      <c r="AR2296" s="247"/>
      <c r="AS2296" s="247"/>
      <c r="AT2296" s="247"/>
      <c r="AU2296" s="247"/>
      <c r="AW2296" s="116"/>
    </row>
    <row r="2297" spans="39:49" ht="13.5" customHeight="1">
      <c r="AM2297" s="247"/>
      <c r="AN2297" s="247"/>
      <c r="AO2297" s="247"/>
      <c r="AP2297" s="247"/>
      <c r="AQ2297" s="247"/>
      <c r="AR2297" s="247"/>
      <c r="AS2297" s="247"/>
      <c r="AT2297" s="247"/>
      <c r="AU2297" s="247"/>
      <c r="AW2297" s="116"/>
    </row>
    <row r="2298" spans="39:49" ht="24" customHeight="1">
      <c r="AM2298" s="247"/>
      <c r="AN2298" s="247"/>
      <c r="AO2298" s="247"/>
      <c r="AP2298" s="247"/>
      <c r="AQ2298" s="247"/>
      <c r="AR2298" s="247"/>
      <c r="AS2298" s="247"/>
      <c r="AT2298" s="247"/>
      <c r="AU2298" s="247"/>
      <c r="AW2298" s="116"/>
    </row>
    <row r="2299" spans="39:49" ht="13.5" customHeight="1">
      <c r="AM2299" s="247"/>
      <c r="AN2299" s="247"/>
      <c r="AO2299" s="247"/>
      <c r="AP2299" s="247"/>
      <c r="AQ2299" s="247"/>
      <c r="AR2299" s="247"/>
      <c r="AS2299" s="247"/>
      <c r="AT2299" s="247"/>
      <c r="AU2299" s="247"/>
      <c r="AW2299" s="116"/>
    </row>
    <row r="2300" spans="39:49" ht="24" customHeight="1">
      <c r="AM2300" s="247"/>
      <c r="AN2300" s="247"/>
      <c r="AO2300" s="247"/>
      <c r="AP2300" s="247"/>
      <c r="AQ2300" s="247"/>
      <c r="AR2300" s="247"/>
      <c r="AS2300" s="247"/>
      <c r="AT2300" s="247"/>
      <c r="AU2300" s="247"/>
      <c r="AW2300" s="116"/>
    </row>
    <row r="2301" spans="39:49" ht="13.5" customHeight="1">
      <c r="AM2301" s="247"/>
      <c r="AN2301" s="247"/>
      <c r="AO2301" s="247"/>
      <c r="AP2301" s="247"/>
      <c r="AQ2301" s="247"/>
      <c r="AR2301" s="247"/>
      <c r="AS2301" s="247"/>
      <c r="AT2301" s="247"/>
      <c r="AU2301" s="247"/>
      <c r="AW2301" s="116"/>
    </row>
    <row r="2302" spans="39:49" ht="24" customHeight="1">
      <c r="AM2302" s="247"/>
      <c r="AN2302" s="247"/>
      <c r="AO2302" s="247"/>
      <c r="AP2302" s="247"/>
      <c r="AQ2302" s="247"/>
      <c r="AR2302" s="247"/>
      <c r="AS2302" s="247"/>
      <c r="AT2302" s="247"/>
      <c r="AU2302" s="247"/>
      <c r="AW2302" s="116"/>
    </row>
    <row r="2303" spans="39:49" ht="13.5" customHeight="1">
      <c r="AM2303" s="247"/>
      <c r="AN2303" s="247"/>
      <c r="AO2303" s="247"/>
      <c r="AP2303" s="247"/>
      <c r="AQ2303" s="247"/>
      <c r="AR2303" s="247"/>
      <c r="AS2303" s="247"/>
      <c r="AT2303" s="247"/>
      <c r="AU2303" s="247"/>
      <c r="AW2303" s="116"/>
    </row>
    <row r="2304" spans="39:49" ht="24" customHeight="1">
      <c r="AM2304" s="247"/>
      <c r="AN2304" s="247"/>
      <c r="AO2304" s="247"/>
      <c r="AP2304" s="247"/>
      <c r="AQ2304" s="247"/>
      <c r="AR2304" s="247"/>
      <c r="AS2304" s="247"/>
      <c r="AT2304" s="247"/>
      <c r="AU2304" s="247"/>
      <c r="AW2304" s="116"/>
    </row>
    <row r="2305" spans="39:49" ht="13.5" customHeight="1">
      <c r="AM2305" s="247"/>
      <c r="AN2305" s="247"/>
      <c r="AO2305" s="247"/>
      <c r="AP2305" s="247"/>
      <c r="AQ2305" s="247"/>
      <c r="AR2305" s="247"/>
      <c r="AS2305" s="247"/>
      <c r="AT2305" s="247"/>
      <c r="AU2305" s="247"/>
      <c r="AW2305" s="116"/>
    </row>
    <row r="2306" spans="39:49" ht="24" customHeight="1">
      <c r="AM2306" s="247"/>
      <c r="AN2306" s="247"/>
      <c r="AO2306" s="247"/>
      <c r="AP2306" s="247"/>
      <c r="AQ2306" s="247"/>
      <c r="AR2306" s="247"/>
      <c r="AS2306" s="247"/>
      <c r="AT2306" s="247"/>
      <c r="AU2306" s="247"/>
      <c r="AW2306" s="116"/>
    </row>
    <row r="2307" spans="39:49" ht="13.5" customHeight="1">
      <c r="AM2307" s="247"/>
      <c r="AN2307" s="247"/>
      <c r="AO2307" s="247"/>
      <c r="AP2307" s="247"/>
      <c r="AQ2307" s="247"/>
      <c r="AR2307" s="247"/>
      <c r="AS2307" s="247"/>
      <c r="AT2307" s="247"/>
      <c r="AU2307" s="247"/>
      <c r="AW2307" s="116"/>
    </row>
    <row r="2308" spans="39:49" ht="24" customHeight="1">
      <c r="AM2308" s="247"/>
      <c r="AN2308" s="247"/>
      <c r="AO2308" s="247"/>
      <c r="AP2308" s="247"/>
      <c r="AQ2308" s="247"/>
      <c r="AR2308" s="247"/>
      <c r="AS2308" s="247"/>
      <c r="AT2308" s="247"/>
      <c r="AU2308" s="247"/>
      <c r="AW2308" s="116"/>
    </row>
    <row r="2309" spans="39:49" ht="13.5" customHeight="1">
      <c r="AM2309" s="247"/>
      <c r="AN2309" s="247"/>
      <c r="AO2309" s="247"/>
      <c r="AP2309" s="247"/>
      <c r="AQ2309" s="247"/>
      <c r="AR2309" s="247"/>
      <c r="AS2309" s="247"/>
      <c r="AT2309" s="247"/>
      <c r="AU2309" s="247"/>
      <c r="AW2309" s="116"/>
    </row>
    <row r="2310" spans="39:49" ht="24" customHeight="1">
      <c r="AM2310" s="247"/>
      <c r="AN2310" s="247"/>
      <c r="AO2310" s="247"/>
      <c r="AP2310" s="247"/>
      <c r="AQ2310" s="247"/>
      <c r="AR2310" s="247"/>
      <c r="AS2310" s="247"/>
      <c r="AT2310" s="247"/>
      <c r="AU2310" s="247"/>
      <c r="AW2310" s="116"/>
    </row>
    <row r="2311" spans="39:49" ht="13.5" customHeight="1">
      <c r="AM2311" s="247"/>
      <c r="AN2311" s="247"/>
      <c r="AO2311" s="247"/>
      <c r="AP2311" s="247"/>
      <c r="AQ2311" s="247"/>
      <c r="AR2311" s="247"/>
      <c r="AS2311" s="247"/>
      <c r="AT2311" s="247"/>
      <c r="AU2311" s="247"/>
      <c r="AW2311" s="116"/>
    </row>
    <row r="2312" spans="39:49" ht="24" customHeight="1">
      <c r="AM2312" s="247"/>
      <c r="AN2312" s="247"/>
      <c r="AO2312" s="247"/>
      <c r="AP2312" s="247"/>
      <c r="AQ2312" s="247"/>
      <c r="AR2312" s="247"/>
      <c r="AS2312" s="247"/>
      <c r="AT2312" s="247"/>
      <c r="AU2312" s="247"/>
      <c r="AW2312" s="116"/>
    </row>
    <row r="2313" spans="39:49" ht="13.5" customHeight="1">
      <c r="AM2313" s="247"/>
      <c r="AN2313" s="247"/>
      <c r="AO2313" s="247"/>
      <c r="AP2313" s="247"/>
      <c r="AQ2313" s="247"/>
      <c r="AR2313" s="247"/>
      <c r="AS2313" s="247"/>
      <c r="AT2313" s="247"/>
      <c r="AU2313" s="247"/>
      <c r="AW2313" s="116"/>
    </row>
    <row r="2314" spans="39:49" ht="24" customHeight="1">
      <c r="AM2314" s="247"/>
      <c r="AN2314" s="247"/>
      <c r="AO2314" s="247"/>
      <c r="AP2314" s="247"/>
      <c r="AQ2314" s="247"/>
      <c r="AR2314" s="247"/>
      <c r="AS2314" s="247"/>
      <c r="AT2314" s="247"/>
      <c r="AU2314" s="247"/>
      <c r="AW2314" s="116"/>
    </row>
    <row r="2315" spans="39:49" ht="13.5" customHeight="1">
      <c r="AM2315" s="247"/>
      <c r="AN2315" s="247"/>
      <c r="AO2315" s="247"/>
      <c r="AP2315" s="247"/>
      <c r="AQ2315" s="247"/>
      <c r="AR2315" s="247"/>
      <c r="AS2315" s="247"/>
      <c r="AT2315" s="247"/>
      <c r="AU2315" s="247"/>
      <c r="AW2315" s="116"/>
    </row>
    <row r="2316" spans="39:49" ht="24" customHeight="1">
      <c r="AM2316" s="247"/>
      <c r="AN2316" s="247"/>
      <c r="AO2316" s="247"/>
      <c r="AP2316" s="247"/>
      <c r="AQ2316" s="247"/>
      <c r="AR2316" s="247"/>
      <c r="AS2316" s="247"/>
      <c r="AT2316" s="247"/>
      <c r="AU2316" s="247"/>
      <c r="AW2316" s="116"/>
    </row>
    <row r="2317" spans="39:49" ht="13.5" customHeight="1">
      <c r="AM2317" s="247"/>
      <c r="AN2317" s="247"/>
      <c r="AO2317" s="247"/>
      <c r="AP2317" s="247"/>
      <c r="AQ2317" s="247"/>
      <c r="AR2317" s="247"/>
      <c r="AS2317" s="247"/>
      <c r="AT2317" s="247"/>
      <c r="AU2317" s="247"/>
      <c r="AW2317" s="116"/>
    </row>
    <row r="2318" spans="39:49" ht="24" customHeight="1">
      <c r="AM2318" s="247"/>
      <c r="AN2318" s="247"/>
      <c r="AO2318" s="247"/>
      <c r="AP2318" s="247"/>
      <c r="AQ2318" s="247"/>
      <c r="AR2318" s="247"/>
      <c r="AS2318" s="247"/>
      <c r="AT2318" s="247"/>
      <c r="AU2318" s="247"/>
      <c r="AW2318" s="116"/>
    </row>
    <row r="2319" spans="39:49" ht="13.5" customHeight="1">
      <c r="AM2319" s="247"/>
      <c r="AN2319" s="247"/>
      <c r="AO2319" s="247"/>
      <c r="AP2319" s="247"/>
      <c r="AQ2319" s="247"/>
      <c r="AR2319" s="247"/>
      <c r="AS2319" s="247"/>
      <c r="AT2319" s="247"/>
      <c r="AU2319" s="247"/>
      <c r="AW2319" s="116"/>
    </row>
    <row r="2320" spans="39:49" ht="24" customHeight="1">
      <c r="AM2320" s="247"/>
      <c r="AN2320" s="247"/>
      <c r="AO2320" s="247"/>
      <c r="AP2320" s="247"/>
      <c r="AQ2320" s="247"/>
      <c r="AR2320" s="247"/>
      <c r="AS2320" s="247"/>
      <c r="AT2320" s="247"/>
      <c r="AU2320" s="247"/>
      <c r="AW2320" s="116"/>
    </row>
    <row r="2321" spans="39:49" ht="13.5" customHeight="1">
      <c r="AM2321" s="247"/>
      <c r="AN2321" s="247"/>
      <c r="AO2321" s="247"/>
      <c r="AP2321" s="247"/>
      <c r="AQ2321" s="247"/>
      <c r="AR2321" s="247"/>
      <c r="AS2321" s="247"/>
      <c r="AT2321" s="247"/>
      <c r="AU2321" s="247"/>
      <c r="AW2321" s="116"/>
    </row>
    <row r="2322" spans="39:49" ht="24" customHeight="1">
      <c r="AM2322" s="247"/>
      <c r="AN2322" s="247"/>
      <c r="AO2322" s="247"/>
      <c r="AP2322" s="247"/>
      <c r="AQ2322" s="247"/>
      <c r="AR2322" s="247"/>
      <c r="AS2322" s="247"/>
      <c r="AT2322" s="247"/>
      <c r="AU2322" s="247"/>
      <c r="AW2322" s="116"/>
    </row>
    <row r="2323" spans="39:49" ht="13.5" customHeight="1">
      <c r="AM2323" s="247"/>
      <c r="AN2323" s="247"/>
      <c r="AO2323" s="247"/>
      <c r="AP2323" s="247"/>
      <c r="AQ2323" s="247"/>
      <c r="AR2323" s="247"/>
      <c r="AS2323" s="247"/>
      <c r="AT2323" s="247"/>
      <c r="AU2323" s="247"/>
      <c r="AW2323" s="116"/>
    </row>
    <row r="2324" spans="39:49" ht="24" customHeight="1">
      <c r="AM2324" s="247"/>
      <c r="AN2324" s="247"/>
      <c r="AO2324" s="247"/>
      <c r="AP2324" s="247"/>
      <c r="AQ2324" s="247"/>
      <c r="AR2324" s="247"/>
      <c r="AS2324" s="247"/>
      <c r="AT2324" s="247"/>
      <c r="AU2324" s="247"/>
      <c r="AW2324" s="116"/>
    </row>
    <row r="2325" spans="39:49" ht="13.5" customHeight="1">
      <c r="AM2325" s="247"/>
      <c r="AN2325" s="247"/>
      <c r="AO2325" s="247"/>
      <c r="AP2325" s="247"/>
      <c r="AQ2325" s="247"/>
      <c r="AR2325" s="247"/>
      <c r="AS2325" s="247"/>
      <c r="AT2325" s="247"/>
      <c r="AU2325" s="247"/>
      <c r="AW2325" s="116"/>
    </row>
    <row r="2326" spans="39:49" ht="24" customHeight="1">
      <c r="AM2326" s="247"/>
      <c r="AN2326" s="247"/>
      <c r="AO2326" s="247"/>
      <c r="AP2326" s="247"/>
      <c r="AQ2326" s="247"/>
      <c r="AR2326" s="247"/>
      <c r="AS2326" s="247"/>
      <c r="AT2326" s="247"/>
      <c r="AU2326" s="247"/>
      <c r="AW2326" s="116"/>
    </row>
    <row r="2327" spans="39:49" ht="13.5" customHeight="1">
      <c r="AM2327" s="247"/>
      <c r="AN2327" s="247"/>
      <c r="AO2327" s="247"/>
      <c r="AP2327" s="247"/>
      <c r="AQ2327" s="247"/>
      <c r="AR2327" s="247"/>
      <c r="AS2327" s="247"/>
      <c r="AT2327" s="247"/>
      <c r="AU2327" s="247"/>
      <c r="AW2327" s="116"/>
    </row>
    <row r="2328" spans="39:49" ht="24" customHeight="1">
      <c r="AM2328" s="247"/>
      <c r="AN2328" s="247"/>
      <c r="AO2328" s="247"/>
      <c r="AP2328" s="247"/>
      <c r="AQ2328" s="247"/>
      <c r="AR2328" s="247"/>
      <c r="AS2328" s="247"/>
      <c r="AT2328" s="247"/>
      <c r="AU2328" s="247"/>
      <c r="AW2328" s="116"/>
    </row>
    <row r="2329" spans="39:49" ht="13.5" customHeight="1">
      <c r="AM2329" s="247"/>
      <c r="AN2329" s="247"/>
      <c r="AO2329" s="247"/>
      <c r="AP2329" s="247"/>
      <c r="AQ2329" s="247"/>
      <c r="AR2329" s="247"/>
      <c r="AS2329" s="247"/>
      <c r="AT2329" s="247"/>
      <c r="AU2329" s="247"/>
      <c r="AW2329" s="116"/>
    </row>
    <row r="2330" spans="39:49" ht="24" customHeight="1">
      <c r="AM2330" s="247"/>
      <c r="AN2330" s="247"/>
      <c r="AO2330" s="247"/>
      <c r="AP2330" s="247"/>
      <c r="AQ2330" s="247"/>
      <c r="AR2330" s="247"/>
      <c r="AS2330" s="247"/>
      <c r="AT2330" s="247"/>
      <c r="AU2330" s="247"/>
      <c r="AW2330" s="116"/>
    </row>
    <row r="2331" spans="39:49" ht="13.5" customHeight="1">
      <c r="AM2331" s="247"/>
      <c r="AN2331" s="247"/>
      <c r="AO2331" s="247"/>
      <c r="AP2331" s="247"/>
      <c r="AQ2331" s="247"/>
      <c r="AR2331" s="247"/>
      <c r="AS2331" s="247"/>
      <c r="AT2331" s="247"/>
      <c r="AU2331" s="247"/>
      <c r="AW2331" s="116"/>
    </row>
    <row r="2332" spans="39:49" ht="24" customHeight="1">
      <c r="AM2332" s="247"/>
      <c r="AN2332" s="247"/>
      <c r="AO2332" s="247"/>
      <c r="AP2332" s="247"/>
      <c r="AQ2332" s="247"/>
      <c r="AR2332" s="247"/>
      <c r="AS2332" s="247"/>
      <c r="AT2332" s="247"/>
      <c r="AU2332" s="247"/>
      <c r="AW2332" s="116"/>
    </row>
    <row r="2333" spans="39:49" ht="13.5" customHeight="1">
      <c r="AM2333" s="247"/>
      <c r="AN2333" s="247"/>
      <c r="AO2333" s="247"/>
      <c r="AP2333" s="247"/>
      <c r="AQ2333" s="247"/>
      <c r="AR2333" s="247"/>
      <c r="AS2333" s="247"/>
      <c r="AT2333" s="247"/>
      <c r="AU2333" s="247"/>
      <c r="AW2333" s="116"/>
    </row>
    <row r="2334" spans="39:49" ht="24" customHeight="1">
      <c r="AM2334" s="247"/>
      <c r="AN2334" s="247"/>
      <c r="AO2334" s="247"/>
      <c r="AP2334" s="247"/>
      <c r="AQ2334" s="247"/>
      <c r="AR2334" s="247"/>
      <c r="AS2334" s="247"/>
      <c r="AT2334" s="247"/>
      <c r="AU2334" s="247"/>
      <c r="AW2334" s="116"/>
    </row>
    <row r="2335" spans="39:49" ht="13.5" customHeight="1">
      <c r="AM2335" s="247"/>
      <c r="AN2335" s="247"/>
      <c r="AO2335" s="247"/>
      <c r="AP2335" s="247"/>
      <c r="AQ2335" s="247"/>
      <c r="AR2335" s="247"/>
      <c r="AS2335" s="247"/>
      <c r="AT2335" s="247"/>
      <c r="AU2335" s="247"/>
      <c r="AW2335" s="116"/>
    </row>
    <row r="2336" spans="39:49" ht="24" customHeight="1">
      <c r="AM2336" s="247"/>
      <c r="AN2336" s="247"/>
      <c r="AO2336" s="247"/>
      <c r="AP2336" s="247"/>
      <c r="AQ2336" s="247"/>
      <c r="AR2336" s="247"/>
      <c r="AS2336" s="247"/>
      <c r="AT2336" s="247"/>
      <c r="AU2336" s="247"/>
      <c r="AW2336" s="116"/>
    </row>
    <row r="2337" spans="39:49" ht="13.5" customHeight="1">
      <c r="AM2337" s="247"/>
      <c r="AN2337" s="247"/>
      <c r="AO2337" s="247"/>
      <c r="AP2337" s="247"/>
      <c r="AQ2337" s="247"/>
      <c r="AR2337" s="247"/>
      <c r="AS2337" s="247"/>
      <c r="AT2337" s="247"/>
      <c r="AU2337" s="247"/>
      <c r="AW2337" s="116"/>
    </row>
    <row r="2338" spans="39:49" ht="24" customHeight="1">
      <c r="AM2338" s="247"/>
      <c r="AN2338" s="247"/>
      <c r="AO2338" s="247"/>
      <c r="AP2338" s="247"/>
      <c r="AQ2338" s="247"/>
      <c r="AR2338" s="247"/>
      <c r="AS2338" s="247"/>
      <c r="AT2338" s="247"/>
      <c r="AU2338" s="247"/>
      <c r="AW2338" s="116"/>
    </row>
    <row r="2339" spans="39:49" ht="13.5" customHeight="1">
      <c r="AM2339" s="247"/>
      <c r="AN2339" s="247"/>
      <c r="AO2339" s="247"/>
      <c r="AP2339" s="247"/>
      <c r="AQ2339" s="247"/>
      <c r="AR2339" s="247"/>
      <c r="AS2339" s="247"/>
      <c r="AT2339" s="247"/>
      <c r="AU2339" s="247"/>
      <c r="AW2339" s="116"/>
    </row>
    <row r="2340" spans="39:49" ht="24" customHeight="1">
      <c r="AM2340" s="247"/>
      <c r="AN2340" s="247"/>
      <c r="AO2340" s="247"/>
      <c r="AP2340" s="247"/>
      <c r="AQ2340" s="247"/>
      <c r="AR2340" s="247"/>
      <c r="AS2340" s="247"/>
      <c r="AT2340" s="247"/>
      <c r="AU2340" s="247"/>
      <c r="AW2340" s="116"/>
    </row>
    <row r="2341" spans="39:49" ht="13.5" customHeight="1">
      <c r="AM2341" s="247"/>
      <c r="AN2341" s="247"/>
      <c r="AO2341" s="247"/>
      <c r="AP2341" s="247"/>
      <c r="AQ2341" s="247"/>
      <c r="AR2341" s="247"/>
      <c r="AS2341" s="247"/>
      <c r="AT2341" s="247"/>
      <c r="AU2341" s="247"/>
      <c r="AW2341" s="116"/>
    </row>
    <row r="2342" spans="39:49" ht="24" customHeight="1">
      <c r="AM2342" s="247"/>
      <c r="AN2342" s="247"/>
      <c r="AO2342" s="247"/>
      <c r="AP2342" s="247"/>
      <c r="AQ2342" s="247"/>
      <c r="AR2342" s="247"/>
      <c r="AS2342" s="247"/>
      <c r="AT2342" s="247"/>
      <c r="AU2342" s="247"/>
      <c r="AW2342" s="116"/>
    </row>
    <row r="2343" spans="39:49" ht="13.5" customHeight="1">
      <c r="AM2343" s="247"/>
      <c r="AN2343" s="247"/>
      <c r="AO2343" s="247"/>
      <c r="AP2343" s="247"/>
      <c r="AQ2343" s="247"/>
      <c r="AR2343" s="247"/>
      <c r="AS2343" s="247"/>
      <c r="AT2343" s="247"/>
      <c r="AU2343" s="247"/>
      <c r="AW2343" s="116"/>
    </row>
    <row r="2344" spans="39:49" ht="24" customHeight="1">
      <c r="AM2344" s="247"/>
      <c r="AN2344" s="247"/>
      <c r="AO2344" s="247"/>
      <c r="AP2344" s="247"/>
      <c r="AQ2344" s="247"/>
      <c r="AR2344" s="247"/>
      <c r="AS2344" s="247"/>
      <c r="AT2344" s="247"/>
      <c r="AU2344" s="247"/>
      <c r="AW2344" s="116"/>
    </row>
    <row r="2345" spans="39:49" ht="13.5" customHeight="1">
      <c r="AM2345" s="247"/>
      <c r="AN2345" s="247"/>
      <c r="AO2345" s="247"/>
      <c r="AP2345" s="247"/>
      <c r="AQ2345" s="247"/>
      <c r="AR2345" s="247"/>
      <c r="AS2345" s="247"/>
      <c r="AT2345" s="247"/>
      <c r="AU2345" s="247"/>
      <c r="AW2345" s="116"/>
    </row>
    <row r="2346" spans="39:49" ht="24" customHeight="1">
      <c r="AM2346" s="247"/>
      <c r="AN2346" s="247"/>
      <c r="AO2346" s="247"/>
      <c r="AP2346" s="247"/>
      <c r="AQ2346" s="247"/>
      <c r="AR2346" s="247"/>
      <c r="AS2346" s="247"/>
      <c r="AT2346" s="247"/>
      <c r="AU2346" s="247"/>
      <c r="AW2346" s="116"/>
    </row>
    <row r="2347" spans="39:49" ht="13.5" customHeight="1">
      <c r="AM2347" s="247"/>
      <c r="AN2347" s="247"/>
      <c r="AO2347" s="247"/>
      <c r="AP2347" s="247"/>
      <c r="AQ2347" s="247"/>
      <c r="AR2347" s="247"/>
      <c r="AS2347" s="247"/>
      <c r="AT2347" s="247"/>
      <c r="AU2347" s="247"/>
      <c r="AW2347" s="116"/>
    </row>
    <row r="2348" spans="39:49" ht="24" customHeight="1">
      <c r="AM2348" s="247"/>
      <c r="AN2348" s="247"/>
      <c r="AO2348" s="247"/>
      <c r="AP2348" s="247"/>
      <c r="AQ2348" s="247"/>
      <c r="AR2348" s="247"/>
      <c r="AS2348" s="247"/>
      <c r="AT2348" s="247"/>
      <c r="AU2348" s="247"/>
      <c r="AW2348" s="116"/>
    </row>
    <row r="2349" spans="39:49" ht="13.5" customHeight="1">
      <c r="AM2349" s="247"/>
      <c r="AN2349" s="247"/>
      <c r="AO2349" s="247"/>
      <c r="AP2349" s="247"/>
      <c r="AQ2349" s="247"/>
      <c r="AR2349" s="247"/>
      <c r="AS2349" s="247"/>
      <c r="AT2349" s="247"/>
      <c r="AU2349" s="247"/>
      <c r="AW2349" s="116"/>
    </row>
    <row r="2350" spans="39:49" ht="24" customHeight="1">
      <c r="AM2350" s="247"/>
      <c r="AN2350" s="247"/>
      <c r="AO2350" s="247"/>
      <c r="AP2350" s="247"/>
      <c r="AQ2350" s="247"/>
      <c r="AR2350" s="247"/>
      <c r="AS2350" s="247"/>
      <c r="AT2350" s="247"/>
      <c r="AU2350" s="247"/>
      <c r="AW2350" s="116"/>
    </row>
    <row r="2351" spans="39:49" ht="13.5" customHeight="1">
      <c r="AM2351" s="247"/>
      <c r="AN2351" s="247"/>
      <c r="AO2351" s="247"/>
      <c r="AP2351" s="247"/>
      <c r="AQ2351" s="247"/>
      <c r="AR2351" s="247"/>
      <c r="AS2351" s="247"/>
      <c r="AT2351" s="247"/>
      <c r="AU2351" s="247"/>
      <c r="AW2351" s="116"/>
    </row>
    <row r="2352" spans="39:49" ht="24" customHeight="1">
      <c r="AM2352" s="247"/>
      <c r="AN2352" s="247"/>
      <c r="AO2352" s="247"/>
      <c r="AP2352" s="247"/>
      <c r="AQ2352" s="247"/>
      <c r="AR2352" s="247"/>
      <c r="AS2352" s="247"/>
      <c r="AT2352" s="247"/>
      <c r="AU2352" s="247"/>
      <c r="AW2352" s="116"/>
    </row>
    <row r="2353" spans="39:49" ht="13.5" customHeight="1">
      <c r="AM2353" s="247"/>
      <c r="AN2353" s="247"/>
      <c r="AO2353" s="247"/>
      <c r="AP2353" s="247"/>
      <c r="AQ2353" s="247"/>
      <c r="AR2353" s="247"/>
      <c r="AS2353" s="247"/>
      <c r="AT2353" s="247"/>
      <c r="AU2353" s="247"/>
      <c r="AW2353" s="116"/>
    </row>
    <row r="2354" spans="39:49" ht="24" customHeight="1">
      <c r="AM2354" s="247"/>
      <c r="AN2354" s="247"/>
      <c r="AO2354" s="247"/>
      <c r="AP2354" s="247"/>
      <c r="AQ2354" s="247"/>
      <c r="AR2354" s="247"/>
      <c r="AS2354" s="247"/>
      <c r="AT2354" s="247"/>
      <c r="AU2354" s="247"/>
      <c r="AW2354" s="116"/>
    </row>
    <row r="2355" spans="39:49" ht="13.5" customHeight="1">
      <c r="AM2355" s="247"/>
      <c r="AN2355" s="247"/>
      <c r="AO2355" s="247"/>
      <c r="AP2355" s="247"/>
      <c r="AQ2355" s="247"/>
      <c r="AR2355" s="247"/>
      <c r="AS2355" s="247"/>
      <c r="AT2355" s="247"/>
      <c r="AU2355" s="247"/>
      <c r="AW2355" s="116"/>
    </row>
    <row r="2356" spans="39:49" ht="24" customHeight="1">
      <c r="AM2356" s="247"/>
      <c r="AN2356" s="247"/>
      <c r="AO2356" s="247"/>
      <c r="AP2356" s="247"/>
      <c r="AQ2356" s="247"/>
      <c r="AR2356" s="247"/>
      <c r="AS2356" s="247"/>
      <c r="AT2356" s="247"/>
      <c r="AU2356" s="247"/>
      <c r="AW2356" s="116"/>
    </row>
    <row r="2357" spans="39:49" ht="13.5" customHeight="1">
      <c r="AM2357" s="247"/>
      <c r="AN2357" s="247"/>
      <c r="AO2357" s="247"/>
      <c r="AP2357" s="247"/>
      <c r="AQ2357" s="247"/>
      <c r="AR2357" s="247"/>
      <c r="AS2357" s="247"/>
      <c r="AT2357" s="247"/>
      <c r="AU2357" s="247"/>
      <c r="AW2357" s="116"/>
    </row>
    <row r="2358" spans="39:49" ht="24" customHeight="1">
      <c r="AM2358" s="247"/>
      <c r="AN2358" s="247"/>
      <c r="AO2358" s="247"/>
      <c r="AP2358" s="247"/>
      <c r="AQ2358" s="247"/>
      <c r="AR2358" s="247"/>
      <c r="AS2358" s="247"/>
      <c r="AT2358" s="247"/>
      <c r="AU2358" s="247"/>
      <c r="AW2358" s="116"/>
    </row>
    <row r="2359" spans="39:49" ht="13.5" customHeight="1">
      <c r="AM2359" s="247"/>
      <c r="AN2359" s="247"/>
      <c r="AO2359" s="247"/>
      <c r="AP2359" s="247"/>
      <c r="AQ2359" s="247"/>
      <c r="AR2359" s="247"/>
      <c r="AS2359" s="247"/>
      <c r="AT2359" s="247"/>
      <c r="AU2359" s="247"/>
      <c r="AW2359" s="116"/>
    </row>
    <row r="2360" spans="39:49" ht="24" customHeight="1">
      <c r="AM2360" s="247"/>
      <c r="AN2360" s="247"/>
      <c r="AO2360" s="247"/>
      <c r="AP2360" s="247"/>
      <c r="AQ2360" s="247"/>
      <c r="AR2360" s="247"/>
      <c r="AS2360" s="247"/>
      <c r="AT2360" s="247"/>
      <c r="AU2360" s="247"/>
      <c r="AW2360" s="116"/>
    </row>
    <row r="2361" spans="39:49" ht="13.5" customHeight="1">
      <c r="AM2361" s="247"/>
      <c r="AN2361" s="247"/>
      <c r="AO2361" s="247"/>
      <c r="AP2361" s="247"/>
      <c r="AQ2361" s="247"/>
      <c r="AR2361" s="247"/>
      <c r="AS2361" s="247"/>
      <c r="AT2361" s="247"/>
      <c r="AU2361" s="247"/>
      <c r="AW2361" s="116"/>
    </row>
    <row r="2362" spans="39:49" ht="24" customHeight="1">
      <c r="AM2362" s="247"/>
      <c r="AN2362" s="247"/>
      <c r="AO2362" s="247"/>
      <c r="AP2362" s="247"/>
      <c r="AQ2362" s="247"/>
      <c r="AR2362" s="247"/>
      <c r="AS2362" s="247"/>
      <c r="AT2362" s="247"/>
      <c r="AU2362" s="247"/>
      <c r="AW2362" s="116"/>
    </row>
    <row r="2363" spans="39:49" ht="13.5" customHeight="1">
      <c r="AM2363" s="247"/>
      <c r="AN2363" s="247"/>
      <c r="AO2363" s="247"/>
      <c r="AP2363" s="247"/>
      <c r="AQ2363" s="247"/>
      <c r="AR2363" s="247"/>
      <c r="AS2363" s="247"/>
      <c r="AT2363" s="247"/>
      <c r="AU2363" s="247"/>
      <c r="AW2363" s="116"/>
    </row>
    <row r="2364" spans="39:49" ht="24" customHeight="1">
      <c r="AM2364" s="247"/>
      <c r="AN2364" s="247"/>
      <c r="AO2364" s="247"/>
      <c r="AP2364" s="247"/>
      <c r="AQ2364" s="247"/>
      <c r="AR2364" s="247"/>
      <c r="AS2364" s="247"/>
      <c r="AT2364" s="247"/>
      <c r="AU2364" s="247"/>
      <c r="AW2364" s="116"/>
    </row>
    <row r="2365" spans="39:49" ht="13.5" customHeight="1">
      <c r="AM2365" s="247"/>
      <c r="AN2365" s="247"/>
      <c r="AO2365" s="247"/>
      <c r="AP2365" s="247"/>
      <c r="AQ2365" s="247"/>
      <c r="AR2365" s="247"/>
      <c r="AS2365" s="247"/>
      <c r="AT2365" s="247"/>
      <c r="AU2365" s="247"/>
      <c r="AW2365" s="116"/>
    </row>
    <row r="2366" spans="39:49" ht="24" customHeight="1">
      <c r="AM2366" s="247"/>
      <c r="AN2366" s="247"/>
      <c r="AO2366" s="247"/>
      <c r="AP2366" s="247"/>
      <c r="AQ2366" s="247"/>
      <c r="AR2366" s="247"/>
      <c r="AS2366" s="247"/>
      <c r="AT2366" s="247"/>
      <c r="AU2366" s="247"/>
      <c r="AW2366" s="116"/>
    </row>
    <row r="2367" spans="39:49" ht="13.5" customHeight="1">
      <c r="AM2367" s="247"/>
      <c r="AN2367" s="247"/>
      <c r="AO2367" s="247"/>
      <c r="AP2367" s="247"/>
      <c r="AQ2367" s="247"/>
      <c r="AR2367" s="247"/>
      <c r="AS2367" s="247"/>
      <c r="AT2367" s="247"/>
      <c r="AU2367" s="247"/>
      <c r="AW2367" s="116"/>
    </row>
    <row r="2368" spans="39:49" ht="24" customHeight="1">
      <c r="AM2368" s="247"/>
      <c r="AN2368" s="247"/>
      <c r="AO2368" s="247"/>
      <c r="AP2368" s="247"/>
      <c r="AQ2368" s="247"/>
      <c r="AR2368" s="247"/>
      <c r="AS2368" s="247"/>
      <c r="AT2368" s="247"/>
      <c r="AU2368" s="247"/>
      <c r="AW2368" s="116"/>
    </row>
    <row r="2369" spans="39:49" ht="13.5" customHeight="1">
      <c r="AM2369" s="247"/>
      <c r="AN2369" s="247"/>
      <c r="AO2369" s="247"/>
      <c r="AP2369" s="247"/>
      <c r="AQ2369" s="247"/>
      <c r="AR2369" s="247"/>
      <c r="AS2369" s="247"/>
      <c r="AT2369" s="247"/>
      <c r="AU2369" s="247"/>
      <c r="AW2369" s="116"/>
    </row>
    <row r="2370" spans="39:49" ht="24" customHeight="1">
      <c r="AM2370" s="247"/>
      <c r="AN2370" s="247"/>
      <c r="AO2370" s="247"/>
      <c r="AP2370" s="247"/>
      <c r="AQ2370" s="247"/>
      <c r="AR2370" s="247"/>
      <c r="AS2370" s="247"/>
      <c r="AT2370" s="247"/>
      <c r="AU2370" s="247"/>
      <c r="AW2370" s="116"/>
    </row>
    <row r="2371" spans="39:49" ht="13.5" customHeight="1">
      <c r="AM2371" s="247"/>
      <c r="AN2371" s="247"/>
      <c r="AO2371" s="247"/>
      <c r="AP2371" s="247"/>
      <c r="AQ2371" s="247"/>
      <c r="AR2371" s="247"/>
      <c r="AS2371" s="247"/>
      <c r="AT2371" s="247"/>
      <c r="AU2371" s="247"/>
      <c r="AW2371" s="116"/>
    </row>
    <row r="2372" spans="39:49" ht="24" customHeight="1">
      <c r="AM2372" s="247"/>
      <c r="AN2372" s="247"/>
      <c r="AO2372" s="247"/>
      <c r="AP2372" s="247"/>
      <c r="AQ2372" s="247"/>
      <c r="AR2372" s="247"/>
      <c r="AS2372" s="247"/>
      <c r="AT2372" s="247"/>
      <c r="AU2372" s="247"/>
      <c r="AW2372" s="116"/>
    </row>
    <row r="2373" spans="39:49" ht="13.5" customHeight="1">
      <c r="AM2373" s="247"/>
      <c r="AN2373" s="247"/>
      <c r="AO2373" s="247"/>
      <c r="AP2373" s="247"/>
      <c r="AQ2373" s="247"/>
      <c r="AR2373" s="247"/>
      <c r="AS2373" s="247"/>
      <c r="AT2373" s="247"/>
      <c r="AU2373" s="247"/>
      <c r="AW2373" s="116"/>
    </row>
    <row r="2374" spans="39:49" ht="24" customHeight="1">
      <c r="AM2374" s="247"/>
      <c r="AN2374" s="247"/>
      <c r="AO2374" s="247"/>
      <c r="AP2374" s="247"/>
      <c r="AQ2374" s="247"/>
      <c r="AR2374" s="247"/>
      <c r="AS2374" s="247"/>
      <c r="AT2374" s="247"/>
      <c r="AU2374" s="247"/>
      <c r="AW2374" s="116"/>
    </row>
    <row r="2375" spans="39:49" ht="13.5" customHeight="1">
      <c r="AM2375" s="247"/>
      <c r="AN2375" s="247"/>
      <c r="AO2375" s="247"/>
      <c r="AP2375" s="247"/>
      <c r="AQ2375" s="247"/>
      <c r="AR2375" s="247"/>
      <c r="AS2375" s="247"/>
      <c r="AT2375" s="247"/>
      <c r="AU2375" s="247"/>
      <c r="AW2375" s="116"/>
    </row>
    <row r="2376" spans="39:49" ht="24" customHeight="1">
      <c r="AM2376" s="247"/>
      <c r="AN2376" s="247"/>
      <c r="AO2376" s="247"/>
      <c r="AP2376" s="247"/>
      <c r="AQ2376" s="247"/>
      <c r="AR2376" s="247"/>
      <c r="AS2376" s="247"/>
      <c r="AT2376" s="247"/>
      <c r="AU2376" s="247"/>
      <c r="AW2376" s="116"/>
    </row>
    <row r="2377" spans="39:49" ht="13.5" customHeight="1">
      <c r="AM2377" s="247"/>
      <c r="AN2377" s="247"/>
      <c r="AO2377" s="247"/>
      <c r="AP2377" s="247"/>
      <c r="AQ2377" s="247"/>
      <c r="AR2377" s="247"/>
      <c r="AS2377" s="247"/>
      <c r="AT2377" s="247"/>
      <c r="AU2377" s="247"/>
      <c r="AW2377" s="116"/>
    </row>
    <row r="2378" spans="39:49" ht="24" customHeight="1">
      <c r="AM2378" s="247"/>
      <c r="AN2378" s="247"/>
      <c r="AO2378" s="247"/>
      <c r="AP2378" s="247"/>
      <c r="AQ2378" s="247"/>
      <c r="AR2378" s="247"/>
      <c r="AS2378" s="247"/>
      <c r="AT2378" s="247"/>
      <c r="AU2378" s="247"/>
      <c r="AW2378" s="116"/>
    </row>
    <row r="2379" spans="39:49" ht="13.5" customHeight="1">
      <c r="AM2379" s="247"/>
      <c r="AN2379" s="247"/>
      <c r="AO2379" s="247"/>
      <c r="AP2379" s="247"/>
      <c r="AQ2379" s="247"/>
      <c r="AR2379" s="247"/>
      <c r="AS2379" s="247"/>
      <c r="AT2379" s="247"/>
      <c r="AU2379" s="247"/>
      <c r="AW2379" s="116"/>
    </row>
    <row r="2380" spans="39:49" ht="24" customHeight="1">
      <c r="AM2380" s="247"/>
      <c r="AN2380" s="247"/>
      <c r="AO2380" s="247"/>
      <c r="AP2380" s="247"/>
      <c r="AQ2380" s="247"/>
      <c r="AR2380" s="247"/>
      <c r="AS2380" s="247"/>
      <c r="AT2380" s="247"/>
      <c r="AU2380" s="247"/>
      <c r="AW2380" s="116"/>
    </row>
    <row r="2381" spans="39:49" ht="13.5" customHeight="1">
      <c r="AM2381" s="247"/>
      <c r="AN2381" s="247"/>
      <c r="AO2381" s="247"/>
      <c r="AP2381" s="247"/>
      <c r="AQ2381" s="247"/>
      <c r="AR2381" s="247"/>
      <c r="AS2381" s="247"/>
      <c r="AT2381" s="247"/>
      <c r="AU2381" s="247"/>
      <c r="AW2381" s="116"/>
    </row>
    <row r="2382" spans="39:49" ht="24" customHeight="1">
      <c r="AM2382" s="247"/>
      <c r="AN2382" s="247"/>
      <c r="AO2382" s="247"/>
      <c r="AP2382" s="247"/>
      <c r="AQ2382" s="247"/>
      <c r="AR2382" s="247"/>
      <c r="AS2382" s="247"/>
      <c r="AT2382" s="247"/>
      <c r="AU2382" s="247"/>
      <c r="AW2382" s="116"/>
    </row>
    <row r="2383" spans="39:49" ht="13.5" customHeight="1">
      <c r="AM2383" s="247"/>
      <c r="AN2383" s="247"/>
      <c r="AO2383" s="247"/>
      <c r="AP2383" s="247"/>
      <c r="AQ2383" s="247"/>
      <c r="AR2383" s="247"/>
      <c r="AS2383" s="247"/>
      <c r="AT2383" s="247"/>
      <c r="AU2383" s="247"/>
      <c r="AW2383" s="116"/>
    </row>
    <row r="2384" spans="39:49" ht="24" customHeight="1">
      <c r="AM2384" s="247"/>
      <c r="AN2384" s="247"/>
      <c r="AO2384" s="247"/>
      <c r="AP2384" s="247"/>
      <c r="AQ2384" s="247"/>
      <c r="AR2384" s="247"/>
      <c r="AS2384" s="247"/>
      <c r="AT2384" s="247"/>
      <c r="AU2384" s="247"/>
      <c r="AW2384" s="116"/>
    </row>
    <row r="2385" spans="39:49" ht="13.5" customHeight="1">
      <c r="AM2385" s="247"/>
      <c r="AN2385" s="247"/>
      <c r="AO2385" s="247"/>
      <c r="AP2385" s="247"/>
      <c r="AQ2385" s="247"/>
      <c r="AR2385" s="247"/>
      <c r="AS2385" s="247"/>
      <c r="AT2385" s="247"/>
      <c r="AU2385" s="247"/>
      <c r="AW2385" s="116"/>
    </row>
    <row r="2386" spans="39:49" ht="24" customHeight="1">
      <c r="AM2386" s="247"/>
      <c r="AN2386" s="247"/>
      <c r="AO2386" s="247"/>
      <c r="AP2386" s="247"/>
      <c r="AQ2386" s="247"/>
      <c r="AR2386" s="247"/>
      <c r="AS2386" s="247"/>
      <c r="AT2386" s="247"/>
      <c r="AU2386" s="247"/>
      <c r="AW2386" s="116"/>
    </row>
    <row r="2387" spans="39:49" ht="13.5" customHeight="1">
      <c r="AM2387" s="247"/>
      <c r="AN2387" s="247"/>
      <c r="AO2387" s="247"/>
      <c r="AP2387" s="247"/>
      <c r="AQ2387" s="247"/>
      <c r="AR2387" s="247"/>
      <c r="AS2387" s="247"/>
      <c r="AT2387" s="247"/>
      <c r="AU2387" s="247"/>
      <c r="AW2387" s="116"/>
    </row>
    <row r="2388" spans="39:49" ht="24" customHeight="1">
      <c r="AM2388" s="247"/>
      <c r="AN2388" s="247"/>
      <c r="AO2388" s="247"/>
      <c r="AP2388" s="247"/>
      <c r="AQ2388" s="247"/>
      <c r="AR2388" s="247"/>
      <c r="AS2388" s="247"/>
      <c r="AT2388" s="247"/>
      <c r="AU2388" s="247"/>
      <c r="AW2388" s="116"/>
    </row>
    <row r="2389" spans="39:49" ht="13.5" customHeight="1">
      <c r="AM2389" s="247"/>
      <c r="AN2389" s="247"/>
      <c r="AO2389" s="247"/>
      <c r="AP2389" s="247"/>
      <c r="AQ2389" s="247"/>
      <c r="AR2389" s="247"/>
      <c r="AS2389" s="247"/>
      <c r="AT2389" s="247"/>
      <c r="AU2389" s="247"/>
      <c r="AW2389" s="116"/>
    </row>
    <row r="2390" spans="39:49" ht="24" customHeight="1">
      <c r="AM2390" s="247"/>
      <c r="AN2390" s="247"/>
      <c r="AO2390" s="247"/>
      <c r="AP2390" s="247"/>
      <c r="AQ2390" s="247"/>
      <c r="AR2390" s="247"/>
      <c r="AS2390" s="247"/>
      <c r="AT2390" s="247"/>
      <c r="AU2390" s="247"/>
      <c r="AW2390" s="116"/>
    </row>
    <row r="2391" spans="39:49" ht="13.5" customHeight="1">
      <c r="AM2391" s="247"/>
      <c r="AN2391" s="247"/>
      <c r="AO2391" s="247"/>
      <c r="AP2391" s="247"/>
      <c r="AQ2391" s="247"/>
      <c r="AR2391" s="247"/>
      <c r="AS2391" s="247"/>
      <c r="AT2391" s="247"/>
      <c r="AU2391" s="247"/>
      <c r="AW2391" s="116"/>
    </row>
    <row r="2392" spans="39:49" ht="24" customHeight="1">
      <c r="AM2392" s="247"/>
      <c r="AN2392" s="247"/>
      <c r="AO2392" s="247"/>
      <c r="AP2392" s="247"/>
      <c r="AQ2392" s="247"/>
      <c r="AR2392" s="247"/>
      <c r="AS2392" s="247"/>
      <c r="AT2392" s="247"/>
      <c r="AU2392" s="247"/>
      <c r="AW2392" s="116"/>
    </row>
    <row r="2393" spans="39:49" ht="13.5" customHeight="1">
      <c r="AM2393" s="247"/>
      <c r="AN2393" s="247"/>
      <c r="AO2393" s="247"/>
      <c r="AP2393" s="247"/>
      <c r="AQ2393" s="247"/>
      <c r="AR2393" s="247"/>
      <c r="AS2393" s="247"/>
      <c r="AT2393" s="247"/>
      <c r="AU2393" s="247"/>
      <c r="AW2393" s="116"/>
    </row>
    <row r="2394" spans="39:49" ht="24" customHeight="1">
      <c r="AM2394" s="247"/>
      <c r="AN2394" s="247"/>
      <c r="AO2394" s="247"/>
      <c r="AP2394" s="247"/>
      <c r="AQ2394" s="247"/>
      <c r="AR2394" s="247"/>
      <c r="AS2394" s="247"/>
      <c r="AT2394" s="247"/>
      <c r="AU2394" s="247"/>
      <c r="AW2394" s="116"/>
    </row>
    <row r="2395" spans="39:49" ht="13.5" customHeight="1">
      <c r="AM2395" s="247"/>
      <c r="AN2395" s="247"/>
      <c r="AO2395" s="247"/>
      <c r="AP2395" s="247"/>
      <c r="AQ2395" s="247"/>
      <c r="AR2395" s="247"/>
      <c r="AS2395" s="247"/>
      <c r="AT2395" s="247"/>
      <c r="AU2395" s="247"/>
      <c r="AW2395" s="116"/>
    </row>
    <row r="2396" spans="39:49" ht="24" customHeight="1">
      <c r="AM2396" s="247"/>
      <c r="AN2396" s="247"/>
      <c r="AO2396" s="247"/>
      <c r="AP2396" s="247"/>
      <c r="AQ2396" s="247"/>
      <c r="AR2396" s="247"/>
      <c r="AS2396" s="247"/>
      <c r="AT2396" s="247"/>
      <c r="AU2396" s="247"/>
      <c r="AW2396" s="116"/>
    </row>
    <row r="2397" spans="39:49" ht="13.5" customHeight="1">
      <c r="AM2397" s="247"/>
      <c r="AN2397" s="247"/>
      <c r="AO2397" s="247"/>
      <c r="AP2397" s="247"/>
      <c r="AQ2397" s="247"/>
      <c r="AR2397" s="247"/>
      <c r="AS2397" s="247"/>
      <c r="AT2397" s="247"/>
      <c r="AU2397" s="247"/>
      <c r="AW2397" s="116"/>
    </row>
    <row r="2398" spans="39:49" ht="24" customHeight="1">
      <c r="AM2398" s="247"/>
      <c r="AN2398" s="247"/>
      <c r="AO2398" s="247"/>
      <c r="AP2398" s="247"/>
      <c r="AQ2398" s="247"/>
      <c r="AR2398" s="247"/>
      <c r="AS2398" s="247"/>
      <c r="AT2398" s="247"/>
      <c r="AU2398" s="247"/>
      <c r="AW2398" s="116"/>
    </row>
    <row r="2399" spans="39:49" ht="13.5" customHeight="1">
      <c r="AM2399" s="247"/>
      <c r="AN2399" s="247"/>
      <c r="AO2399" s="247"/>
      <c r="AP2399" s="247"/>
      <c r="AQ2399" s="247"/>
      <c r="AR2399" s="247"/>
      <c r="AS2399" s="247"/>
      <c r="AT2399" s="247"/>
      <c r="AU2399" s="247"/>
      <c r="AW2399" s="116"/>
    </row>
    <row r="2400" spans="39:49" ht="24" customHeight="1">
      <c r="AM2400" s="247"/>
      <c r="AN2400" s="247"/>
      <c r="AO2400" s="247"/>
      <c r="AP2400" s="247"/>
      <c r="AQ2400" s="247"/>
      <c r="AR2400" s="247"/>
      <c r="AS2400" s="247"/>
      <c r="AT2400" s="247"/>
      <c r="AU2400" s="247"/>
      <c r="AW2400" s="116"/>
    </row>
    <row r="2401" spans="39:49" ht="13.5" customHeight="1">
      <c r="AM2401" s="247"/>
      <c r="AN2401" s="247"/>
      <c r="AO2401" s="247"/>
      <c r="AP2401" s="247"/>
      <c r="AQ2401" s="247"/>
      <c r="AR2401" s="247"/>
      <c r="AS2401" s="247"/>
      <c r="AT2401" s="247"/>
      <c r="AU2401" s="247"/>
      <c r="AW2401" s="116"/>
    </row>
    <row r="2402" spans="39:49" ht="24" customHeight="1">
      <c r="AM2402" s="247"/>
      <c r="AN2402" s="247"/>
      <c r="AO2402" s="247"/>
      <c r="AP2402" s="247"/>
      <c r="AQ2402" s="247"/>
      <c r="AR2402" s="247"/>
      <c r="AS2402" s="247"/>
      <c r="AT2402" s="247"/>
      <c r="AU2402" s="247"/>
      <c r="AW2402" s="116"/>
    </row>
    <row r="2403" spans="39:49" ht="13.5" customHeight="1">
      <c r="AM2403" s="247"/>
      <c r="AN2403" s="247"/>
      <c r="AO2403" s="247"/>
      <c r="AP2403" s="247"/>
      <c r="AQ2403" s="247"/>
      <c r="AR2403" s="247"/>
      <c r="AS2403" s="247"/>
      <c r="AT2403" s="247"/>
      <c r="AU2403" s="247"/>
      <c r="AW2403" s="116"/>
    </row>
    <row r="2404" spans="39:49" ht="24" customHeight="1">
      <c r="AM2404" s="247"/>
      <c r="AN2404" s="247"/>
      <c r="AO2404" s="247"/>
      <c r="AP2404" s="247"/>
      <c r="AQ2404" s="247"/>
      <c r="AR2404" s="247"/>
      <c r="AS2404" s="247"/>
      <c r="AT2404" s="247"/>
      <c r="AU2404" s="247"/>
      <c r="AW2404" s="116"/>
    </row>
    <row r="2405" spans="39:49" ht="13.5" customHeight="1">
      <c r="AM2405" s="247"/>
      <c r="AN2405" s="247"/>
      <c r="AO2405" s="247"/>
      <c r="AP2405" s="247"/>
      <c r="AQ2405" s="247"/>
      <c r="AR2405" s="247"/>
      <c r="AS2405" s="247"/>
      <c r="AT2405" s="247"/>
      <c r="AU2405" s="247"/>
      <c r="AW2405" s="116"/>
    </row>
    <row r="2406" spans="39:49" ht="24" customHeight="1">
      <c r="AM2406" s="247"/>
      <c r="AN2406" s="247"/>
      <c r="AO2406" s="247"/>
      <c r="AP2406" s="247"/>
      <c r="AQ2406" s="247"/>
      <c r="AR2406" s="247"/>
      <c r="AS2406" s="247"/>
      <c r="AT2406" s="247"/>
      <c r="AU2406" s="247"/>
      <c r="AW2406" s="116"/>
    </row>
    <row r="2407" spans="39:49" ht="13.5" customHeight="1">
      <c r="AM2407" s="247"/>
      <c r="AN2407" s="247"/>
      <c r="AO2407" s="247"/>
      <c r="AP2407" s="247"/>
      <c r="AQ2407" s="247"/>
      <c r="AR2407" s="247"/>
      <c r="AS2407" s="247"/>
      <c r="AT2407" s="247"/>
      <c r="AU2407" s="247"/>
      <c r="AW2407" s="116"/>
    </row>
    <row r="2408" spans="39:49" ht="24" customHeight="1">
      <c r="AM2408" s="247"/>
      <c r="AN2408" s="247"/>
      <c r="AO2408" s="247"/>
      <c r="AP2408" s="247"/>
      <c r="AQ2408" s="247"/>
      <c r="AR2408" s="247"/>
      <c r="AS2408" s="247"/>
      <c r="AT2408" s="247"/>
      <c r="AU2408" s="247"/>
      <c r="AW2408" s="116"/>
    </row>
    <row r="2409" spans="39:49" ht="13.5" customHeight="1">
      <c r="AM2409" s="247"/>
      <c r="AN2409" s="247"/>
      <c r="AO2409" s="247"/>
      <c r="AP2409" s="247"/>
      <c r="AQ2409" s="247"/>
      <c r="AR2409" s="247"/>
      <c r="AS2409" s="247"/>
      <c r="AT2409" s="247"/>
      <c r="AU2409" s="247"/>
      <c r="AW2409" s="116"/>
    </row>
    <row r="2410" spans="39:49" ht="24" customHeight="1">
      <c r="AM2410" s="247"/>
      <c r="AN2410" s="247"/>
      <c r="AO2410" s="247"/>
      <c r="AP2410" s="247"/>
      <c r="AQ2410" s="247"/>
      <c r="AR2410" s="247"/>
      <c r="AS2410" s="247"/>
      <c r="AT2410" s="247"/>
      <c r="AU2410" s="247"/>
      <c r="AW2410" s="116"/>
    </row>
    <row r="2411" spans="39:49" ht="13.5" customHeight="1">
      <c r="AM2411" s="247"/>
      <c r="AN2411" s="247"/>
      <c r="AO2411" s="247"/>
      <c r="AP2411" s="247"/>
      <c r="AQ2411" s="247"/>
      <c r="AR2411" s="247"/>
      <c r="AS2411" s="247"/>
      <c r="AT2411" s="247"/>
      <c r="AU2411" s="247"/>
      <c r="AW2411" s="116"/>
    </row>
    <row r="2412" spans="39:49" ht="24" customHeight="1">
      <c r="AM2412" s="247"/>
      <c r="AN2412" s="247"/>
      <c r="AO2412" s="247"/>
      <c r="AP2412" s="247"/>
      <c r="AQ2412" s="247"/>
      <c r="AR2412" s="247"/>
      <c r="AS2412" s="247"/>
      <c r="AT2412" s="247"/>
      <c r="AU2412" s="247"/>
      <c r="AW2412" s="116"/>
    </row>
    <row r="2413" spans="39:49" ht="13.5" customHeight="1">
      <c r="AM2413" s="247"/>
      <c r="AN2413" s="247"/>
      <c r="AO2413" s="247"/>
      <c r="AP2413" s="247"/>
      <c r="AQ2413" s="247"/>
      <c r="AR2413" s="247"/>
      <c r="AS2413" s="247"/>
      <c r="AT2413" s="247"/>
      <c r="AU2413" s="247"/>
      <c r="AW2413" s="116"/>
    </row>
    <row r="2414" spans="39:49" ht="24" customHeight="1">
      <c r="AM2414" s="247"/>
      <c r="AN2414" s="247"/>
      <c r="AO2414" s="247"/>
      <c r="AP2414" s="247"/>
      <c r="AQ2414" s="247"/>
      <c r="AR2414" s="247"/>
      <c r="AS2414" s="247"/>
      <c r="AT2414" s="247"/>
      <c r="AU2414" s="247"/>
      <c r="AW2414" s="116"/>
    </row>
    <row r="2415" spans="39:49" ht="13.5" customHeight="1">
      <c r="AM2415" s="247"/>
      <c r="AN2415" s="247"/>
      <c r="AO2415" s="247"/>
      <c r="AP2415" s="247"/>
      <c r="AQ2415" s="247"/>
      <c r="AR2415" s="247"/>
      <c r="AS2415" s="247"/>
      <c r="AT2415" s="247"/>
      <c r="AU2415" s="247"/>
      <c r="AW2415" s="116"/>
    </row>
    <row r="2416" spans="39:49" ht="24" customHeight="1">
      <c r="AM2416" s="247"/>
      <c r="AN2416" s="247"/>
      <c r="AO2416" s="247"/>
      <c r="AP2416" s="247"/>
      <c r="AQ2416" s="247"/>
      <c r="AR2416" s="247"/>
      <c r="AS2416" s="247"/>
      <c r="AT2416" s="247"/>
      <c r="AU2416" s="247"/>
      <c r="AW2416" s="116"/>
    </row>
    <row r="2417" spans="39:49" ht="13.5" customHeight="1">
      <c r="AM2417" s="247"/>
      <c r="AN2417" s="247"/>
      <c r="AO2417" s="247"/>
      <c r="AP2417" s="247"/>
      <c r="AQ2417" s="247"/>
      <c r="AR2417" s="247"/>
      <c r="AS2417" s="247"/>
      <c r="AT2417" s="247"/>
      <c r="AU2417" s="247"/>
      <c r="AW2417" s="116"/>
    </row>
    <row r="2418" spans="39:49" ht="24" customHeight="1">
      <c r="AM2418" s="247"/>
      <c r="AN2418" s="247"/>
      <c r="AO2418" s="247"/>
      <c r="AP2418" s="247"/>
      <c r="AQ2418" s="247"/>
      <c r="AR2418" s="247"/>
      <c r="AS2418" s="247"/>
      <c r="AT2418" s="247"/>
      <c r="AU2418" s="247"/>
      <c r="AW2418" s="116"/>
    </row>
    <row r="2419" spans="39:49" ht="13.5" customHeight="1">
      <c r="AM2419" s="247"/>
      <c r="AN2419" s="247"/>
      <c r="AO2419" s="247"/>
      <c r="AP2419" s="247"/>
      <c r="AQ2419" s="247"/>
      <c r="AR2419" s="247"/>
      <c r="AS2419" s="247"/>
      <c r="AT2419" s="247"/>
      <c r="AU2419" s="247"/>
      <c r="AW2419" s="116"/>
    </row>
    <row r="2420" spans="39:49" ht="24" customHeight="1">
      <c r="AM2420" s="247"/>
      <c r="AN2420" s="247"/>
      <c r="AO2420" s="247"/>
      <c r="AP2420" s="247"/>
      <c r="AQ2420" s="247"/>
      <c r="AR2420" s="247"/>
      <c r="AS2420" s="247"/>
      <c r="AT2420" s="247"/>
      <c r="AU2420" s="247"/>
      <c r="AW2420" s="116"/>
    </row>
    <row r="2421" spans="39:49" ht="13.5" customHeight="1">
      <c r="AM2421" s="247"/>
      <c r="AN2421" s="247"/>
      <c r="AO2421" s="247"/>
      <c r="AP2421" s="247"/>
      <c r="AQ2421" s="247"/>
      <c r="AR2421" s="247"/>
      <c r="AS2421" s="247"/>
      <c r="AT2421" s="247"/>
      <c r="AU2421" s="247"/>
      <c r="AW2421" s="116"/>
    </row>
    <row r="2422" spans="39:49" ht="24" customHeight="1">
      <c r="AM2422" s="247"/>
      <c r="AN2422" s="247"/>
      <c r="AO2422" s="247"/>
      <c r="AP2422" s="247"/>
      <c r="AQ2422" s="247"/>
      <c r="AR2422" s="247"/>
      <c r="AS2422" s="247"/>
      <c r="AT2422" s="247"/>
      <c r="AU2422" s="247"/>
      <c r="AW2422" s="116"/>
    </row>
    <row r="2423" spans="39:49" ht="13.5" customHeight="1">
      <c r="AM2423" s="247"/>
      <c r="AN2423" s="247"/>
      <c r="AO2423" s="247"/>
      <c r="AP2423" s="247"/>
      <c r="AQ2423" s="247"/>
      <c r="AR2423" s="247"/>
      <c r="AS2423" s="247"/>
      <c r="AT2423" s="247"/>
      <c r="AU2423" s="247"/>
      <c r="AW2423" s="116"/>
    </row>
    <row r="2424" spans="39:49" ht="24" customHeight="1">
      <c r="AM2424" s="247"/>
      <c r="AN2424" s="247"/>
      <c r="AO2424" s="247"/>
      <c r="AP2424" s="247"/>
      <c r="AQ2424" s="247"/>
      <c r="AR2424" s="247"/>
      <c r="AS2424" s="247"/>
      <c r="AT2424" s="247"/>
      <c r="AU2424" s="247"/>
      <c r="AW2424" s="116"/>
    </row>
    <row r="2425" spans="39:49" ht="13.5" customHeight="1">
      <c r="AM2425" s="247"/>
      <c r="AN2425" s="247"/>
      <c r="AO2425" s="247"/>
      <c r="AP2425" s="247"/>
      <c r="AQ2425" s="247"/>
      <c r="AR2425" s="247"/>
      <c r="AS2425" s="247"/>
      <c r="AT2425" s="247"/>
      <c r="AU2425" s="247"/>
      <c r="AW2425" s="116"/>
    </row>
    <row r="2426" spans="39:49" ht="24" customHeight="1">
      <c r="AM2426" s="247"/>
      <c r="AN2426" s="247"/>
      <c r="AO2426" s="247"/>
      <c r="AP2426" s="247"/>
      <c r="AQ2426" s="247"/>
      <c r="AR2426" s="247"/>
      <c r="AS2426" s="247"/>
      <c r="AT2426" s="247"/>
      <c r="AU2426" s="247"/>
      <c r="AW2426" s="116"/>
    </row>
    <row r="2427" spans="39:49" ht="13.5" customHeight="1">
      <c r="AM2427" s="247"/>
      <c r="AN2427" s="247"/>
      <c r="AO2427" s="247"/>
      <c r="AP2427" s="247"/>
      <c r="AQ2427" s="247"/>
      <c r="AR2427" s="247"/>
      <c r="AS2427" s="247"/>
      <c r="AT2427" s="247"/>
      <c r="AU2427" s="247"/>
      <c r="AW2427" s="116"/>
    </row>
    <row r="2428" spans="39:49" ht="24" customHeight="1">
      <c r="AM2428" s="247"/>
      <c r="AN2428" s="247"/>
      <c r="AO2428" s="247"/>
      <c r="AP2428" s="247"/>
      <c r="AQ2428" s="247"/>
      <c r="AR2428" s="247"/>
      <c r="AS2428" s="247"/>
      <c r="AT2428" s="247"/>
      <c r="AU2428" s="247"/>
      <c r="AW2428" s="116"/>
    </row>
    <row r="2429" spans="39:49" ht="13.5" customHeight="1">
      <c r="AM2429" s="247"/>
      <c r="AN2429" s="247"/>
      <c r="AO2429" s="247"/>
      <c r="AP2429" s="247"/>
      <c r="AQ2429" s="247"/>
      <c r="AR2429" s="247"/>
      <c r="AS2429" s="247"/>
      <c r="AT2429" s="247"/>
      <c r="AU2429" s="247"/>
      <c r="AW2429" s="116"/>
    </row>
    <row r="2430" spans="39:49" ht="24" customHeight="1">
      <c r="AM2430" s="247"/>
      <c r="AN2430" s="247"/>
      <c r="AO2430" s="247"/>
      <c r="AP2430" s="247"/>
      <c r="AQ2430" s="247"/>
      <c r="AR2430" s="247"/>
      <c r="AS2430" s="247"/>
      <c r="AT2430" s="247"/>
      <c r="AU2430" s="247"/>
      <c r="AW2430" s="116"/>
    </row>
    <row r="2431" spans="39:49" ht="13.5" customHeight="1">
      <c r="AM2431" s="247"/>
      <c r="AN2431" s="247"/>
      <c r="AO2431" s="247"/>
      <c r="AP2431" s="247"/>
      <c r="AQ2431" s="247"/>
      <c r="AR2431" s="247"/>
      <c r="AS2431" s="247"/>
      <c r="AT2431" s="247"/>
      <c r="AU2431" s="247"/>
      <c r="AW2431" s="116"/>
    </row>
    <row r="2432" spans="39:49" ht="24" customHeight="1">
      <c r="AM2432" s="247"/>
      <c r="AN2432" s="247"/>
      <c r="AO2432" s="247"/>
      <c r="AP2432" s="247"/>
      <c r="AQ2432" s="247"/>
      <c r="AR2432" s="247"/>
      <c r="AS2432" s="247"/>
      <c r="AT2432" s="247"/>
      <c r="AU2432" s="247"/>
      <c r="AW2432" s="116"/>
    </row>
    <row r="2433" spans="39:49" ht="13.5" customHeight="1">
      <c r="AM2433" s="247"/>
      <c r="AN2433" s="247"/>
      <c r="AO2433" s="247"/>
      <c r="AP2433" s="247"/>
      <c r="AQ2433" s="247"/>
      <c r="AR2433" s="247"/>
      <c r="AS2433" s="247"/>
      <c r="AT2433" s="247"/>
      <c r="AU2433" s="247"/>
      <c r="AW2433" s="116"/>
    </row>
    <row r="2434" spans="39:49" ht="24" customHeight="1">
      <c r="AM2434" s="247"/>
      <c r="AN2434" s="247"/>
      <c r="AO2434" s="247"/>
      <c r="AP2434" s="247"/>
      <c r="AQ2434" s="247"/>
      <c r="AR2434" s="247"/>
      <c r="AS2434" s="247"/>
      <c r="AT2434" s="247"/>
      <c r="AU2434" s="247"/>
      <c r="AW2434" s="116"/>
    </row>
    <row r="2435" spans="39:49" ht="13.5" customHeight="1">
      <c r="AM2435" s="247"/>
      <c r="AN2435" s="247"/>
      <c r="AO2435" s="247"/>
      <c r="AP2435" s="247"/>
      <c r="AQ2435" s="247"/>
      <c r="AR2435" s="247"/>
      <c r="AS2435" s="247"/>
      <c r="AT2435" s="247"/>
      <c r="AU2435" s="247"/>
      <c r="AW2435" s="116"/>
    </row>
    <row r="2436" spans="39:49" ht="24" customHeight="1">
      <c r="AM2436" s="247"/>
      <c r="AN2436" s="247"/>
      <c r="AO2436" s="247"/>
      <c r="AP2436" s="247"/>
      <c r="AQ2436" s="247"/>
      <c r="AR2436" s="247"/>
      <c r="AS2436" s="247"/>
      <c r="AT2436" s="247"/>
      <c r="AU2436" s="247"/>
      <c r="AW2436" s="116"/>
    </row>
    <row r="2437" spans="39:49" ht="13.5" customHeight="1">
      <c r="AM2437" s="247"/>
      <c r="AN2437" s="247"/>
      <c r="AO2437" s="247"/>
      <c r="AP2437" s="247"/>
      <c r="AQ2437" s="247"/>
      <c r="AR2437" s="247"/>
      <c r="AS2437" s="247"/>
      <c r="AT2437" s="247"/>
      <c r="AU2437" s="247"/>
      <c r="AW2437" s="116"/>
    </row>
    <row r="2438" spans="39:49" ht="24" customHeight="1">
      <c r="AM2438" s="247"/>
      <c r="AN2438" s="247"/>
      <c r="AO2438" s="247"/>
      <c r="AP2438" s="247"/>
      <c r="AQ2438" s="247"/>
      <c r="AR2438" s="247"/>
      <c r="AS2438" s="247"/>
      <c r="AT2438" s="247"/>
      <c r="AU2438" s="247"/>
      <c r="AW2438" s="116"/>
    </row>
    <row r="2439" spans="39:49" ht="13.5" customHeight="1">
      <c r="AM2439" s="247"/>
      <c r="AN2439" s="247"/>
      <c r="AO2439" s="247"/>
      <c r="AP2439" s="247"/>
      <c r="AQ2439" s="247"/>
      <c r="AR2439" s="247"/>
      <c r="AS2439" s="247"/>
      <c r="AT2439" s="247"/>
      <c r="AU2439" s="247"/>
      <c r="AW2439" s="116"/>
    </row>
    <row r="2440" spans="39:49" ht="24" customHeight="1">
      <c r="AM2440" s="247"/>
      <c r="AN2440" s="247"/>
      <c r="AO2440" s="247"/>
      <c r="AP2440" s="247"/>
      <c r="AQ2440" s="247"/>
      <c r="AR2440" s="247"/>
      <c r="AS2440" s="247"/>
      <c r="AT2440" s="247"/>
      <c r="AU2440" s="247"/>
      <c r="AW2440" s="116"/>
    </row>
    <row r="2441" spans="39:49" ht="13.5" customHeight="1">
      <c r="AM2441" s="247"/>
      <c r="AN2441" s="247"/>
      <c r="AO2441" s="247"/>
      <c r="AP2441" s="247"/>
      <c r="AQ2441" s="247"/>
      <c r="AR2441" s="247"/>
      <c r="AS2441" s="247"/>
      <c r="AT2441" s="247"/>
      <c r="AU2441" s="247"/>
      <c r="AW2441" s="116"/>
    </row>
    <row r="2442" spans="39:49" ht="24" customHeight="1">
      <c r="AM2442" s="247"/>
      <c r="AN2442" s="247"/>
      <c r="AO2442" s="247"/>
      <c r="AP2442" s="247"/>
      <c r="AQ2442" s="247"/>
      <c r="AR2442" s="247"/>
      <c r="AS2442" s="247"/>
      <c r="AT2442" s="247"/>
      <c r="AU2442" s="247"/>
      <c r="AW2442" s="116"/>
    </row>
    <row r="2443" spans="39:49" ht="13.5" customHeight="1">
      <c r="AM2443" s="247"/>
      <c r="AN2443" s="247"/>
      <c r="AO2443" s="247"/>
      <c r="AP2443" s="247"/>
      <c r="AQ2443" s="247"/>
      <c r="AR2443" s="247"/>
      <c r="AS2443" s="247"/>
      <c r="AT2443" s="247"/>
      <c r="AU2443" s="247"/>
      <c r="AW2443" s="116"/>
    </row>
    <row r="2444" spans="39:49" ht="24" customHeight="1">
      <c r="AM2444" s="247"/>
      <c r="AN2444" s="247"/>
      <c r="AO2444" s="247"/>
      <c r="AP2444" s="247"/>
      <c r="AQ2444" s="247"/>
      <c r="AR2444" s="247"/>
      <c r="AS2444" s="247"/>
      <c r="AT2444" s="247"/>
      <c r="AU2444" s="247"/>
      <c r="AW2444" s="116"/>
    </row>
    <row r="2445" spans="39:49" ht="13.5" customHeight="1">
      <c r="AM2445" s="247"/>
      <c r="AN2445" s="247"/>
      <c r="AO2445" s="247"/>
      <c r="AP2445" s="247"/>
      <c r="AQ2445" s="247"/>
      <c r="AR2445" s="247"/>
      <c r="AS2445" s="247"/>
      <c r="AT2445" s="247"/>
      <c r="AU2445" s="247"/>
      <c r="AW2445" s="116"/>
    </row>
    <row r="2446" spans="39:49" ht="24" customHeight="1">
      <c r="AM2446" s="247"/>
      <c r="AN2446" s="247"/>
      <c r="AO2446" s="247"/>
      <c r="AP2446" s="247"/>
      <c r="AQ2446" s="247"/>
      <c r="AR2446" s="247"/>
      <c r="AS2446" s="247"/>
      <c r="AT2446" s="247"/>
      <c r="AU2446" s="247"/>
      <c r="AW2446" s="116"/>
    </row>
    <row r="2447" spans="39:49" ht="13.5" customHeight="1">
      <c r="AM2447" s="247"/>
      <c r="AN2447" s="247"/>
      <c r="AO2447" s="247"/>
      <c r="AP2447" s="247"/>
      <c r="AQ2447" s="247"/>
      <c r="AR2447" s="247"/>
      <c r="AS2447" s="247"/>
      <c r="AT2447" s="247"/>
      <c r="AU2447" s="247"/>
      <c r="AW2447" s="116"/>
    </row>
    <row r="2448" spans="39:49" ht="24" customHeight="1">
      <c r="AM2448" s="247"/>
      <c r="AN2448" s="247"/>
      <c r="AO2448" s="247"/>
      <c r="AP2448" s="247"/>
      <c r="AQ2448" s="247"/>
      <c r="AR2448" s="247"/>
      <c r="AS2448" s="247"/>
      <c r="AT2448" s="247"/>
      <c r="AU2448" s="247"/>
      <c r="AW2448" s="116"/>
    </row>
    <row r="2449" spans="39:49" ht="13.5" customHeight="1">
      <c r="AM2449" s="247"/>
      <c r="AN2449" s="247"/>
      <c r="AO2449" s="247"/>
      <c r="AP2449" s="247"/>
      <c r="AQ2449" s="247"/>
      <c r="AR2449" s="247"/>
      <c r="AS2449" s="247"/>
      <c r="AT2449" s="247"/>
      <c r="AU2449" s="247"/>
      <c r="AW2449" s="116"/>
    </row>
    <row r="2450" spans="39:49" ht="24" customHeight="1">
      <c r="AM2450" s="247"/>
      <c r="AN2450" s="247"/>
      <c r="AO2450" s="247"/>
      <c r="AP2450" s="247"/>
      <c r="AQ2450" s="247"/>
      <c r="AR2450" s="247"/>
      <c r="AS2450" s="247"/>
      <c r="AT2450" s="247"/>
      <c r="AU2450" s="247"/>
      <c r="AW2450" s="116"/>
    </row>
    <row r="2451" spans="39:49" ht="13.5" customHeight="1">
      <c r="AM2451" s="247"/>
      <c r="AN2451" s="247"/>
      <c r="AO2451" s="247"/>
      <c r="AP2451" s="247"/>
      <c r="AQ2451" s="247"/>
      <c r="AR2451" s="247"/>
      <c r="AS2451" s="247"/>
      <c r="AT2451" s="247"/>
      <c r="AU2451" s="247"/>
      <c r="AW2451" s="116"/>
    </row>
    <row r="2452" spans="39:49" ht="24" customHeight="1">
      <c r="AM2452" s="247"/>
      <c r="AN2452" s="247"/>
      <c r="AO2452" s="247"/>
      <c r="AP2452" s="247"/>
      <c r="AQ2452" s="247"/>
      <c r="AR2452" s="247"/>
      <c r="AS2452" s="247"/>
      <c r="AT2452" s="247"/>
      <c r="AU2452" s="247"/>
      <c r="AW2452" s="116"/>
    </row>
    <row r="2453" spans="39:49" ht="13.5" customHeight="1">
      <c r="AM2453" s="247"/>
      <c r="AN2453" s="247"/>
      <c r="AO2453" s="247"/>
      <c r="AP2453" s="247"/>
      <c r="AQ2453" s="247"/>
      <c r="AR2453" s="247"/>
      <c r="AS2453" s="247"/>
      <c r="AT2453" s="247"/>
      <c r="AU2453" s="247"/>
      <c r="AW2453" s="116"/>
    </row>
    <row r="2454" spans="39:49" ht="24" customHeight="1">
      <c r="AM2454" s="247"/>
      <c r="AN2454" s="247"/>
      <c r="AO2454" s="247"/>
      <c r="AP2454" s="247"/>
      <c r="AQ2454" s="247"/>
      <c r="AR2454" s="247"/>
      <c r="AS2454" s="247"/>
      <c r="AT2454" s="247"/>
      <c r="AU2454" s="247"/>
      <c r="AW2454" s="116"/>
    </row>
    <row r="2455" spans="39:49" ht="13.5" customHeight="1">
      <c r="AM2455" s="247"/>
      <c r="AN2455" s="247"/>
      <c r="AO2455" s="247"/>
      <c r="AP2455" s="247"/>
      <c r="AQ2455" s="247"/>
      <c r="AR2455" s="247"/>
      <c r="AS2455" s="247"/>
      <c r="AT2455" s="247"/>
      <c r="AU2455" s="247"/>
      <c r="AW2455" s="116"/>
    </row>
    <row r="2456" spans="39:49" ht="24" customHeight="1">
      <c r="AM2456" s="247"/>
      <c r="AN2456" s="247"/>
      <c r="AO2456" s="247"/>
      <c r="AP2456" s="247"/>
      <c r="AQ2456" s="247"/>
      <c r="AR2456" s="247"/>
      <c r="AS2456" s="247"/>
      <c r="AT2456" s="247"/>
      <c r="AU2456" s="247"/>
      <c r="AW2456" s="116"/>
    </row>
    <row r="2457" spans="39:49" ht="13.5" customHeight="1">
      <c r="AM2457" s="247"/>
      <c r="AN2457" s="247"/>
      <c r="AO2457" s="247"/>
      <c r="AP2457" s="247"/>
      <c r="AQ2457" s="247"/>
      <c r="AR2457" s="247"/>
      <c r="AS2457" s="247"/>
      <c r="AT2457" s="247"/>
      <c r="AU2457" s="247"/>
      <c r="AW2457" s="116"/>
    </row>
    <row r="2458" spans="39:49" ht="24" customHeight="1">
      <c r="AM2458" s="247"/>
      <c r="AN2458" s="247"/>
      <c r="AO2458" s="247"/>
      <c r="AP2458" s="247"/>
      <c r="AQ2458" s="247"/>
      <c r="AR2458" s="247"/>
      <c r="AS2458" s="247"/>
      <c r="AT2458" s="247"/>
      <c r="AU2458" s="247"/>
      <c r="AW2458" s="116"/>
    </row>
    <row r="2459" spans="39:49" ht="13.5" customHeight="1">
      <c r="AM2459" s="247"/>
      <c r="AN2459" s="247"/>
      <c r="AO2459" s="247"/>
      <c r="AP2459" s="247"/>
      <c r="AQ2459" s="247"/>
      <c r="AR2459" s="247"/>
      <c r="AS2459" s="247"/>
      <c r="AT2459" s="247"/>
      <c r="AU2459" s="247"/>
      <c r="AW2459" s="116"/>
    </row>
    <row r="2460" spans="39:49" ht="24" customHeight="1">
      <c r="AM2460" s="247"/>
      <c r="AN2460" s="247"/>
      <c r="AO2460" s="247"/>
      <c r="AP2460" s="247"/>
      <c r="AQ2460" s="247"/>
      <c r="AR2460" s="247"/>
      <c r="AS2460" s="247"/>
      <c r="AT2460" s="247"/>
      <c r="AU2460" s="247"/>
      <c r="AW2460" s="116"/>
    </row>
    <row r="2461" spans="39:49" ht="13.5" customHeight="1">
      <c r="AM2461" s="247"/>
      <c r="AN2461" s="247"/>
      <c r="AO2461" s="247"/>
      <c r="AP2461" s="247"/>
      <c r="AQ2461" s="247"/>
      <c r="AR2461" s="247"/>
      <c r="AS2461" s="247"/>
      <c r="AT2461" s="247"/>
      <c r="AU2461" s="247"/>
      <c r="AW2461" s="116"/>
    </row>
    <row r="2462" spans="39:49" ht="24" customHeight="1">
      <c r="AM2462" s="247"/>
      <c r="AN2462" s="247"/>
      <c r="AO2462" s="247"/>
      <c r="AP2462" s="247"/>
      <c r="AQ2462" s="247"/>
      <c r="AR2462" s="247"/>
      <c r="AS2462" s="247"/>
      <c r="AT2462" s="247"/>
      <c r="AU2462" s="247"/>
      <c r="AW2462" s="116"/>
    </row>
    <row r="2463" spans="39:49" ht="13.5" customHeight="1">
      <c r="AM2463" s="247"/>
      <c r="AN2463" s="247"/>
      <c r="AO2463" s="247"/>
      <c r="AP2463" s="247"/>
      <c r="AQ2463" s="247"/>
      <c r="AR2463" s="247"/>
      <c r="AS2463" s="247"/>
      <c r="AT2463" s="247"/>
      <c r="AU2463" s="247"/>
      <c r="AW2463" s="116"/>
    </row>
    <row r="2464" spans="39:49" ht="24" customHeight="1">
      <c r="AM2464" s="247"/>
      <c r="AN2464" s="247"/>
      <c r="AO2464" s="247"/>
      <c r="AP2464" s="247"/>
      <c r="AQ2464" s="247"/>
      <c r="AR2464" s="247"/>
      <c r="AS2464" s="247"/>
      <c r="AT2464" s="247"/>
      <c r="AU2464" s="247"/>
      <c r="AW2464" s="116"/>
    </row>
    <row r="2465" spans="39:49" ht="13.5" customHeight="1">
      <c r="AM2465" s="247"/>
      <c r="AN2465" s="247"/>
      <c r="AO2465" s="247"/>
      <c r="AP2465" s="247"/>
      <c r="AQ2465" s="247"/>
      <c r="AR2465" s="247"/>
      <c r="AS2465" s="247"/>
      <c r="AT2465" s="247"/>
      <c r="AU2465" s="247"/>
      <c r="AW2465" s="116"/>
    </row>
    <row r="2466" spans="39:49" ht="24" customHeight="1">
      <c r="AM2466" s="247"/>
      <c r="AN2466" s="247"/>
      <c r="AO2466" s="247"/>
      <c r="AP2466" s="247"/>
      <c r="AQ2466" s="247"/>
      <c r="AR2466" s="247"/>
      <c r="AS2466" s="247"/>
      <c r="AT2466" s="247"/>
      <c r="AU2466" s="247"/>
      <c r="AW2466" s="116"/>
    </row>
    <row r="2467" spans="39:49" ht="13.5" customHeight="1">
      <c r="AM2467" s="247"/>
      <c r="AN2467" s="247"/>
      <c r="AO2467" s="247"/>
      <c r="AP2467" s="247"/>
      <c r="AQ2467" s="247"/>
      <c r="AR2467" s="247"/>
      <c r="AS2467" s="247"/>
      <c r="AT2467" s="247"/>
      <c r="AU2467" s="247"/>
      <c r="AW2467" s="116"/>
    </row>
    <row r="2468" spans="39:49" ht="24" customHeight="1">
      <c r="AM2468" s="247"/>
      <c r="AN2468" s="247"/>
      <c r="AO2468" s="247"/>
      <c r="AP2468" s="247"/>
      <c r="AQ2468" s="247"/>
      <c r="AR2468" s="247"/>
      <c r="AS2468" s="247"/>
      <c r="AT2468" s="247"/>
      <c r="AU2468" s="247"/>
      <c r="AW2468" s="116"/>
    </row>
    <row r="2469" spans="39:49" ht="13.5" customHeight="1">
      <c r="AM2469" s="247"/>
      <c r="AN2469" s="247"/>
      <c r="AO2469" s="247"/>
      <c r="AP2469" s="247"/>
      <c r="AQ2469" s="247"/>
      <c r="AR2469" s="247"/>
      <c r="AS2469" s="247"/>
      <c r="AT2469" s="247"/>
      <c r="AU2469" s="247"/>
      <c r="AW2469" s="116"/>
    </row>
    <row r="2470" spans="39:49" ht="24" customHeight="1">
      <c r="AM2470" s="247"/>
      <c r="AN2470" s="247"/>
      <c r="AO2470" s="247"/>
      <c r="AP2470" s="247"/>
      <c r="AQ2470" s="247"/>
      <c r="AR2470" s="247"/>
      <c r="AS2470" s="247"/>
      <c r="AT2470" s="247"/>
      <c r="AU2470" s="247"/>
      <c r="AW2470" s="116"/>
    </row>
    <row r="2471" spans="39:49" ht="13.5" customHeight="1">
      <c r="AM2471" s="247"/>
      <c r="AN2471" s="247"/>
      <c r="AO2471" s="247"/>
      <c r="AP2471" s="247"/>
      <c r="AQ2471" s="247"/>
      <c r="AR2471" s="247"/>
      <c r="AS2471" s="247"/>
      <c r="AT2471" s="247"/>
      <c r="AU2471" s="247"/>
      <c r="AW2471" s="116"/>
    </row>
    <row r="2472" spans="39:49" ht="24" customHeight="1">
      <c r="AM2472" s="247"/>
      <c r="AN2472" s="247"/>
      <c r="AO2472" s="247"/>
      <c r="AP2472" s="247"/>
      <c r="AQ2472" s="247"/>
      <c r="AR2472" s="247"/>
      <c r="AS2472" s="247"/>
      <c r="AT2472" s="247"/>
      <c r="AU2472" s="247"/>
      <c r="AW2472" s="116"/>
    </row>
    <row r="2473" spans="39:49" ht="13.5" customHeight="1">
      <c r="AM2473" s="247"/>
      <c r="AN2473" s="247"/>
      <c r="AO2473" s="247"/>
      <c r="AP2473" s="247"/>
      <c r="AQ2473" s="247"/>
      <c r="AR2473" s="247"/>
      <c r="AS2473" s="247"/>
      <c r="AT2473" s="247"/>
      <c r="AU2473" s="247"/>
      <c r="AW2473" s="116"/>
    </row>
    <row r="2474" spans="39:49" ht="24" customHeight="1">
      <c r="AM2474" s="247"/>
      <c r="AN2474" s="247"/>
      <c r="AO2474" s="247"/>
      <c r="AP2474" s="247"/>
      <c r="AQ2474" s="247"/>
      <c r="AR2474" s="247"/>
      <c r="AS2474" s="247"/>
      <c r="AT2474" s="247"/>
      <c r="AU2474" s="247"/>
      <c r="AW2474" s="116"/>
    </row>
    <row r="2475" spans="39:49" ht="13.5" customHeight="1">
      <c r="AM2475" s="247"/>
      <c r="AN2475" s="247"/>
      <c r="AO2475" s="247"/>
      <c r="AP2475" s="247"/>
      <c r="AQ2475" s="247"/>
      <c r="AR2475" s="247"/>
      <c r="AS2475" s="247"/>
      <c r="AT2475" s="247"/>
      <c r="AU2475" s="247"/>
      <c r="AW2475" s="116"/>
    </row>
    <row r="2476" spans="39:49" ht="24" customHeight="1">
      <c r="AM2476" s="247"/>
      <c r="AN2476" s="247"/>
      <c r="AO2476" s="247"/>
      <c r="AP2476" s="247"/>
      <c r="AQ2476" s="247"/>
      <c r="AR2476" s="247"/>
      <c r="AS2476" s="247"/>
      <c r="AT2476" s="247"/>
      <c r="AU2476" s="247"/>
      <c r="AW2476" s="116"/>
    </row>
    <row r="2477" spans="39:49" ht="13.5" customHeight="1">
      <c r="AM2477" s="247"/>
      <c r="AN2477" s="247"/>
      <c r="AO2477" s="247"/>
      <c r="AP2477" s="247"/>
      <c r="AQ2477" s="247"/>
      <c r="AR2477" s="247"/>
      <c r="AS2477" s="247"/>
      <c r="AT2477" s="247"/>
      <c r="AU2477" s="247"/>
      <c r="AW2477" s="116"/>
    </row>
    <row r="2478" spans="39:49" ht="24" customHeight="1">
      <c r="AM2478" s="247"/>
      <c r="AN2478" s="247"/>
      <c r="AO2478" s="247"/>
      <c r="AP2478" s="247"/>
      <c r="AQ2478" s="247"/>
      <c r="AR2478" s="247"/>
      <c r="AS2478" s="247"/>
      <c r="AT2478" s="247"/>
      <c r="AU2478" s="247"/>
      <c r="AW2478" s="116"/>
    </row>
    <row r="2479" spans="39:49" ht="13.5" customHeight="1">
      <c r="AM2479" s="247"/>
      <c r="AN2479" s="247"/>
      <c r="AO2479" s="247"/>
      <c r="AP2479" s="247"/>
      <c r="AQ2479" s="247"/>
      <c r="AR2479" s="247"/>
      <c r="AS2479" s="247"/>
      <c r="AT2479" s="247"/>
      <c r="AU2479" s="247"/>
      <c r="AW2479" s="116"/>
    </row>
    <row r="2480" spans="39:49" ht="24" customHeight="1">
      <c r="AM2480" s="247"/>
      <c r="AN2480" s="247"/>
      <c r="AO2480" s="247"/>
      <c r="AP2480" s="247"/>
      <c r="AQ2480" s="247"/>
      <c r="AR2480" s="247"/>
      <c r="AS2480" s="247"/>
      <c r="AT2480" s="247"/>
      <c r="AU2480" s="247"/>
      <c r="AW2480" s="116"/>
    </row>
    <row r="2481" spans="39:49" ht="13.5" customHeight="1">
      <c r="AM2481" s="247"/>
      <c r="AN2481" s="247"/>
      <c r="AO2481" s="247"/>
      <c r="AP2481" s="247"/>
      <c r="AQ2481" s="247"/>
      <c r="AR2481" s="247"/>
      <c r="AS2481" s="247"/>
      <c r="AT2481" s="247"/>
      <c r="AU2481" s="247"/>
      <c r="AW2481" s="116"/>
    </row>
    <row r="2482" spans="39:49" ht="24" customHeight="1">
      <c r="AM2482" s="247"/>
      <c r="AN2482" s="247"/>
      <c r="AO2482" s="247"/>
      <c r="AP2482" s="247"/>
      <c r="AQ2482" s="247"/>
      <c r="AR2482" s="247"/>
      <c r="AS2482" s="247"/>
      <c r="AT2482" s="247"/>
      <c r="AU2482" s="247"/>
      <c r="AW2482" s="116"/>
    </row>
    <row r="2483" spans="39:49" ht="13.5" customHeight="1">
      <c r="AM2483" s="247"/>
      <c r="AN2483" s="247"/>
      <c r="AO2483" s="247"/>
      <c r="AP2483" s="247"/>
      <c r="AQ2483" s="247"/>
      <c r="AR2483" s="247"/>
      <c r="AS2483" s="247"/>
      <c r="AT2483" s="247"/>
      <c r="AU2483" s="247"/>
      <c r="AW2483" s="116"/>
    </row>
    <row r="2484" spans="39:49" ht="24" customHeight="1">
      <c r="AM2484" s="247"/>
      <c r="AN2484" s="247"/>
      <c r="AO2484" s="247"/>
      <c r="AP2484" s="247"/>
      <c r="AQ2484" s="247"/>
      <c r="AR2484" s="247"/>
      <c r="AS2484" s="247"/>
      <c r="AT2484" s="247"/>
      <c r="AU2484" s="247"/>
      <c r="AW2484" s="116"/>
    </row>
    <row r="2485" spans="39:49" ht="13.5" customHeight="1">
      <c r="AM2485" s="247"/>
      <c r="AN2485" s="247"/>
      <c r="AO2485" s="247"/>
      <c r="AP2485" s="247"/>
      <c r="AQ2485" s="247"/>
      <c r="AR2485" s="247"/>
      <c r="AS2485" s="247"/>
      <c r="AT2485" s="247"/>
      <c r="AU2485" s="247"/>
      <c r="AW2485" s="116"/>
    </row>
    <row r="2486" spans="39:49" ht="24" customHeight="1">
      <c r="AM2486" s="247"/>
      <c r="AN2486" s="247"/>
      <c r="AO2486" s="247"/>
      <c r="AP2486" s="247"/>
      <c r="AQ2486" s="247"/>
      <c r="AR2486" s="247"/>
      <c r="AS2486" s="247"/>
      <c r="AT2486" s="247"/>
      <c r="AU2486" s="247"/>
      <c r="AW2486" s="116"/>
    </row>
    <row r="2487" spans="39:49" ht="13.5" customHeight="1">
      <c r="AM2487" s="247"/>
      <c r="AN2487" s="247"/>
      <c r="AO2487" s="247"/>
      <c r="AP2487" s="247"/>
      <c r="AQ2487" s="247"/>
      <c r="AR2487" s="247"/>
      <c r="AS2487" s="247"/>
      <c r="AT2487" s="247"/>
      <c r="AU2487" s="247"/>
      <c r="AW2487" s="116"/>
    </row>
    <row r="2488" spans="39:49" ht="24" customHeight="1">
      <c r="AM2488" s="247"/>
      <c r="AN2488" s="247"/>
      <c r="AO2488" s="247"/>
      <c r="AP2488" s="247"/>
      <c r="AQ2488" s="247"/>
      <c r="AR2488" s="247"/>
      <c r="AS2488" s="247"/>
      <c r="AT2488" s="247"/>
      <c r="AU2488" s="247"/>
      <c r="AW2488" s="116"/>
    </row>
    <row r="2489" spans="39:49" ht="13.5" customHeight="1">
      <c r="AM2489" s="247"/>
      <c r="AN2489" s="247"/>
      <c r="AO2489" s="247"/>
      <c r="AP2489" s="247"/>
      <c r="AQ2489" s="247"/>
      <c r="AR2489" s="247"/>
      <c r="AS2489" s="247"/>
      <c r="AT2489" s="247"/>
      <c r="AU2489" s="247"/>
      <c r="AW2489" s="116"/>
    </row>
    <row r="2490" spans="39:49" ht="24" customHeight="1">
      <c r="AM2490" s="247"/>
      <c r="AN2490" s="247"/>
      <c r="AO2490" s="247"/>
      <c r="AP2490" s="247"/>
      <c r="AQ2490" s="247"/>
      <c r="AR2490" s="247"/>
      <c r="AS2490" s="247"/>
      <c r="AT2490" s="247"/>
      <c r="AU2490" s="247"/>
      <c r="AW2490" s="116"/>
    </row>
    <row r="2491" spans="39:49" ht="13.5" customHeight="1">
      <c r="AM2491" s="247"/>
      <c r="AN2491" s="247"/>
      <c r="AO2491" s="247"/>
      <c r="AP2491" s="247"/>
      <c r="AQ2491" s="247"/>
      <c r="AR2491" s="247"/>
      <c r="AS2491" s="247"/>
      <c r="AT2491" s="247"/>
      <c r="AU2491" s="247"/>
      <c r="AW2491" s="116"/>
    </row>
    <row r="2492" spans="39:49" ht="24" customHeight="1">
      <c r="AM2492" s="247"/>
      <c r="AN2492" s="247"/>
      <c r="AO2492" s="247"/>
      <c r="AP2492" s="247"/>
      <c r="AQ2492" s="247"/>
      <c r="AR2492" s="247"/>
      <c r="AS2492" s="247"/>
      <c r="AT2492" s="247"/>
      <c r="AU2492" s="247"/>
      <c r="AW2492" s="116"/>
    </row>
    <row r="2493" spans="39:49" ht="13.5" customHeight="1">
      <c r="AM2493" s="247"/>
      <c r="AN2493" s="247"/>
      <c r="AO2493" s="247"/>
      <c r="AP2493" s="247"/>
      <c r="AQ2493" s="247"/>
      <c r="AR2493" s="247"/>
      <c r="AS2493" s="247"/>
      <c r="AT2493" s="247"/>
      <c r="AU2493" s="247"/>
      <c r="AW2493" s="116"/>
    </row>
    <row r="2494" spans="39:49" ht="24" customHeight="1">
      <c r="AM2494" s="247"/>
      <c r="AN2494" s="247"/>
      <c r="AO2494" s="247"/>
      <c r="AP2494" s="247"/>
      <c r="AQ2494" s="247"/>
      <c r="AR2494" s="247"/>
      <c r="AS2494" s="247"/>
      <c r="AT2494" s="247"/>
      <c r="AU2494" s="247"/>
      <c r="AW2494" s="116"/>
    </row>
    <row r="2495" spans="39:49" ht="13.5" customHeight="1">
      <c r="AM2495" s="247"/>
      <c r="AN2495" s="247"/>
      <c r="AO2495" s="247"/>
      <c r="AP2495" s="247"/>
      <c r="AQ2495" s="247"/>
      <c r="AR2495" s="247"/>
      <c r="AS2495" s="247"/>
      <c r="AT2495" s="247"/>
      <c r="AU2495" s="247"/>
      <c r="AW2495" s="116"/>
    </row>
    <row r="2496" spans="39:49" ht="24" customHeight="1">
      <c r="AM2496" s="247"/>
      <c r="AN2496" s="247"/>
      <c r="AO2496" s="247"/>
      <c r="AP2496" s="247"/>
      <c r="AQ2496" s="247"/>
      <c r="AR2496" s="247"/>
      <c r="AS2496" s="247"/>
      <c r="AT2496" s="247"/>
      <c r="AU2496" s="247"/>
      <c r="AW2496" s="116"/>
    </row>
    <row r="2497" spans="39:49" ht="13.5" customHeight="1">
      <c r="AM2497" s="247"/>
      <c r="AN2497" s="247"/>
      <c r="AO2497" s="247"/>
      <c r="AP2497" s="247"/>
      <c r="AQ2497" s="247"/>
      <c r="AR2497" s="247"/>
      <c r="AS2497" s="247"/>
      <c r="AT2497" s="247"/>
      <c r="AU2497" s="247"/>
      <c r="AW2497" s="116"/>
    </row>
    <row r="2498" spans="39:49" ht="24" customHeight="1">
      <c r="AM2498" s="247"/>
      <c r="AN2498" s="247"/>
      <c r="AO2498" s="247"/>
      <c r="AP2498" s="247"/>
      <c r="AQ2498" s="247"/>
      <c r="AR2498" s="247"/>
      <c r="AS2498" s="247"/>
      <c r="AT2498" s="247"/>
      <c r="AU2498" s="247"/>
      <c r="AW2498" s="116"/>
    </row>
    <row r="2499" spans="39:49" ht="13.5" customHeight="1">
      <c r="AM2499" s="247"/>
      <c r="AN2499" s="247"/>
      <c r="AO2499" s="247"/>
      <c r="AP2499" s="247"/>
      <c r="AQ2499" s="247"/>
      <c r="AR2499" s="247"/>
      <c r="AS2499" s="247"/>
      <c r="AT2499" s="247"/>
      <c r="AU2499" s="247"/>
      <c r="AW2499" s="116"/>
    </row>
    <row r="2500" spans="39:49" ht="24" customHeight="1">
      <c r="AM2500" s="247"/>
      <c r="AN2500" s="247"/>
      <c r="AO2500" s="247"/>
      <c r="AP2500" s="247"/>
      <c r="AQ2500" s="247"/>
      <c r="AR2500" s="247"/>
      <c r="AS2500" s="247"/>
      <c r="AT2500" s="247"/>
      <c r="AU2500" s="247"/>
      <c r="AW2500" s="116"/>
    </row>
    <row r="2501" spans="39:49" ht="13.5" customHeight="1">
      <c r="AM2501" s="247"/>
      <c r="AN2501" s="247"/>
      <c r="AO2501" s="247"/>
      <c r="AP2501" s="247"/>
      <c r="AQ2501" s="247"/>
      <c r="AR2501" s="247"/>
      <c r="AS2501" s="247"/>
      <c r="AT2501" s="247"/>
      <c r="AU2501" s="247"/>
      <c r="AW2501" s="116"/>
    </row>
    <row r="2502" spans="39:49" ht="24" customHeight="1">
      <c r="AM2502" s="247"/>
      <c r="AN2502" s="247"/>
      <c r="AO2502" s="247"/>
      <c r="AP2502" s="247"/>
      <c r="AQ2502" s="247"/>
      <c r="AR2502" s="247"/>
      <c r="AS2502" s="247"/>
      <c r="AT2502" s="247"/>
      <c r="AU2502" s="247"/>
      <c r="AW2502" s="116"/>
    </row>
    <row r="2503" spans="39:49" ht="13.5" customHeight="1">
      <c r="AM2503" s="247"/>
      <c r="AN2503" s="247"/>
      <c r="AO2503" s="247"/>
      <c r="AP2503" s="247"/>
      <c r="AQ2503" s="247"/>
      <c r="AR2503" s="247"/>
      <c r="AS2503" s="247"/>
      <c r="AT2503" s="247"/>
      <c r="AU2503" s="247"/>
      <c r="AW2503" s="116"/>
    </row>
    <row r="2504" spans="39:49" ht="24" customHeight="1">
      <c r="AM2504" s="247"/>
      <c r="AN2504" s="247"/>
      <c r="AO2504" s="247"/>
      <c r="AP2504" s="247"/>
      <c r="AQ2504" s="247"/>
      <c r="AR2504" s="247"/>
      <c r="AS2504" s="247"/>
      <c r="AT2504" s="247"/>
      <c r="AU2504" s="247"/>
      <c r="AW2504" s="116"/>
    </row>
    <row r="2505" spans="39:49" ht="13.5" customHeight="1">
      <c r="AM2505" s="247"/>
      <c r="AN2505" s="247"/>
      <c r="AO2505" s="247"/>
      <c r="AP2505" s="247"/>
      <c r="AQ2505" s="247"/>
      <c r="AR2505" s="247"/>
      <c r="AS2505" s="247"/>
      <c r="AT2505" s="247"/>
      <c r="AU2505" s="247"/>
      <c r="AW2505" s="116"/>
    </row>
    <row r="2506" spans="39:49" ht="24" customHeight="1">
      <c r="AM2506" s="247"/>
      <c r="AN2506" s="247"/>
      <c r="AO2506" s="247"/>
      <c r="AP2506" s="247"/>
      <c r="AQ2506" s="247"/>
      <c r="AR2506" s="247"/>
      <c r="AS2506" s="247"/>
      <c r="AT2506" s="247"/>
      <c r="AU2506" s="247"/>
      <c r="AW2506" s="116"/>
    </row>
    <row r="2507" spans="39:49" ht="13.5" customHeight="1">
      <c r="AM2507" s="247"/>
      <c r="AN2507" s="247"/>
      <c r="AO2507" s="247"/>
      <c r="AP2507" s="247"/>
      <c r="AQ2507" s="247"/>
      <c r="AR2507" s="247"/>
      <c r="AS2507" s="247"/>
      <c r="AT2507" s="247"/>
      <c r="AU2507" s="247"/>
      <c r="AW2507" s="116"/>
    </row>
    <row r="2508" spans="39:49" ht="24" customHeight="1">
      <c r="AM2508" s="247"/>
      <c r="AN2508" s="247"/>
      <c r="AO2508" s="247"/>
      <c r="AP2508" s="247"/>
      <c r="AQ2508" s="247"/>
      <c r="AR2508" s="247"/>
      <c r="AS2508" s="247"/>
      <c r="AT2508" s="247"/>
      <c r="AU2508" s="247"/>
      <c r="AW2508" s="116"/>
    </row>
    <row r="2509" spans="39:49" ht="13.5" customHeight="1">
      <c r="AM2509" s="247"/>
      <c r="AN2509" s="247"/>
      <c r="AO2509" s="247"/>
      <c r="AP2509" s="247"/>
      <c r="AQ2509" s="247"/>
      <c r="AR2509" s="247"/>
      <c r="AS2509" s="247"/>
      <c r="AT2509" s="247"/>
      <c r="AU2509" s="247"/>
      <c r="AW2509" s="116"/>
    </row>
    <row r="2510" spans="39:49" ht="24" customHeight="1">
      <c r="AM2510" s="247"/>
      <c r="AN2510" s="247"/>
      <c r="AO2510" s="247"/>
      <c r="AP2510" s="247"/>
      <c r="AQ2510" s="247"/>
      <c r="AR2510" s="247"/>
      <c r="AS2510" s="247"/>
      <c r="AT2510" s="247"/>
      <c r="AU2510" s="247"/>
      <c r="AW2510" s="116"/>
    </row>
    <row r="2511" spans="39:49" ht="13.5" customHeight="1">
      <c r="AM2511" s="247"/>
      <c r="AN2511" s="247"/>
      <c r="AO2511" s="247"/>
      <c r="AP2511" s="247"/>
      <c r="AQ2511" s="247"/>
      <c r="AR2511" s="247"/>
      <c r="AS2511" s="247"/>
      <c r="AT2511" s="247"/>
      <c r="AU2511" s="247"/>
      <c r="AW2511" s="116"/>
    </row>
    <row r="2512" spans="39:49" ht="24" customHeight="1">
      <c r="AM2512" s="247"/>
      <c r="AN2512" s="247"/>
      <c r="AO2512" s="247"/>
      <c r="AP2512" s="247"/>
      <c r="AQ2512" s="247"/>
      <c r="AR2512" s="247"/>
      <c r="AS2512" s="247"/>
      <c r="AT2512" s="247"/>
      <c r="AU2512" s="247"/>
      <c r="AW2512" s="116"/>
    </row>
    <row r="2513" spans="39:49" ht="13.5" customHeight="1">
      <c r="AM2513" s="247"/>
      <c r="AN2513" s="247"/>
      <c r="AO2513" s="247"/>
      <c r="AP2513" s="247"/>
      <c r="AQ2513" s="247"/>
      <c r="AR2513" s="247"/>
      <c r="AS2513" s="247"/>
      <c r="AT2513" s="247"/>
      <c r="AU2513" s="247"/>
      <c r="AW2513" s="116"/>
    </row>
    <row r="2514" spans="39:49" ht="24" customHeight="1">
      <c r="AM2514" s="247"/>
      <c r="AN2514" s="247"/>
      <c r="AO2514" s="247"/>
      <c r="AP2514" s="247"/>
      <c r="AQ2514" s="247"/>
      <c r="AR2514" s="247"/>
      <c r="AS2514" s="247"/>
      <c r="AT2514" s="247"/>
      <c r="AU2514" s="247"/>
      <c r="AW2514" s="116"/>
    </row>
    <row r="2515" spans="39:49" ht="13.5" customHeight="1">
      <c r="AM2515" s="247"/>
      <c r="AN2515" s="247"/>
      <c r="AO2515" s="247"/>
      <c r="AP2515" s="247"/>
      <c r="AQ2515" s="247"/>
      <c r="AR2515" s="247"/>
      <c r="AS2515" s="247"/>
      <c r="AT2515" s="247"/>
      <c r="AU2515" s="247"/>
      <c r="AW2515" s="116"/>
    </row>
    <row r="2516" spans="39:49" ht="24" customHeight="1">
      <c r="AM2516" s="247"/>
      <c r="AN2516" s="247"/>
      <c r="AO2516" s="247"/>
      <c r="AP2516" s="247"/>
      <c r="AQ2516" s="247"/>
      <c r="AR2516" s="247"/>
      <c r="AS2516" s="247"/>
      <c r="AT2516" s="247"/>
      <c r="AU2516" s="247"/>
      <c r="AW2516" s="116"/>
    </row>
    <row r="2517" spans="39:49" ht="13.5" customHeight="1">
      <c r="AM2517" s="247"/>
      <c r="AN2517" s="247"/>
      <c r="AO2517" s="247"/>
      <c r="AP2517" s="247"/>
      <c r="AQ2517" s="247"/>
      <c r="AR2517" s="247"/>
      <c r="AS2517" s="247"/>
      <c r="AT2517" s="247"/>
      <c r="AU2517" s="247"/>
      <c r="AW2517" s="116"/>
    </row>
    <row r="2518" spans="39:49" ht="24" customHeight="1">
      <c r="AM2518" s="247"/>
      <c r="AN2518" s="247"/>
      <c r="AO2518" s="247"/>
      <c r="AP2518" s="247"/>
      <c r="AQ2518" s="247"/>
      <c r="AR2518" s="247"/>
      <c r="AS2518" s="247"/>
      <c r="AT2518" s="247"/>
      <c r="AU2518" s="247"/>
      <c r="AW2518" s="116"/>
    </row>
    <row r="2519" spans="39:49" ht="13.5" customHeight="1">
      <c r="AM2519" s="247"/>
      <c r="AN2519" s="247"/>
      <c r="AO2519" s="247"/>
      <c r="AP2519" s="247"/>
      <c r="AQ2519" s="247"/>
      <c r="AR2519" s="247"/>
      <c r="AS2519" s="247"/>
      <c r="AT2519" s="247"/>
      <c r="AU2519" s="247"/>
      <c r="AW2519" s="116"/>
    </row>
    <row r="2520" spans="39:49" ht="24" customHeight="1">
      <c r="AM2520" s="247"/>
      <c r="AN2520" s="247"/>
      <c r="AO2520" s="247"/>
      <c r="AP2520" s="247"/>
      <c r="AQ2520" s="247"/>
      <c r="AR2520" s="247"/>
      <c r="AS2520" s="247"/>
      <c r="AT2520" s="247"/>
      <c r="AU2520" s="247"/>
      <c r="AW2520" s="116"/>
    </row>
    <row r="2521" spans="39:49" ht="13.5" customHeight="1">
      <c r="AM2521" s="247"/>
      <c r="AN2521" s="247"/>
      <c r="AO2521" s="247"/>
      <c r="AP2521" s="247"/>
      <c r="AQ2521" s="247"/>
      <c r="AR2521" s="247"/>
      <c r="AS2521" s="247"/>
      <c r="AT2521" s="247"/>
      <c r="AU2521" s="247"/>
      <c r="AW2521" s="116"/>
    </row>
    <row r="2522" spans="39:49" ht="24" customHeight="1">
      <c r="AM2522" s="247"/>
      <c r="AN2522" s="247"/>
      <c r="AO2522" s="247"/>
      <c r="AP2522" s="247"/>
      <c r="AQ2522" s="247"/>
      <c r="AR2522" s="247"/>
      <c r="AS2522" s="247"/>
      <c r="AT2522" s="247"/>
      <c r="AU2522" s="247"/>
      <c r="AW2522" s="116"/>
    </row>
    <row r="2523" spans="39:49" ht="13.5" customHeight="1">
      <c r="AM2523" s="247"/>
      <c r="AN2523" s="247"/>
      <c r="AO2523" s="247"/>
      <c r="AP2523" s="247"/>
      <c r="AQ2523" s="247"/>
      <c r="AR2523" s="247"/>
      <c r="AS2523" s="247"/>
      <c r="AT2523" s="247"/>
      <c r="AU2523" s="247"/>
      <c r="AW2523" s="116"/>
    </row>
    <row r="2524" spans="39:49" ht="24" customHeight="1">
      <c r="AM2524" s="247"/>
      <c r="AN2524" s="247"/>
      <c r="AO2524" s="247"/>
      <c r="AP2524" s="247"/>
      <c r="AQ2524" s="247"/>
      <c r="AR2524" s="247"/>
      <c r="AS2524" s="247"/>
      <c r="AT2524" s="247"/>
      <c r="AU2524" s="247"/>
      <c r="AW2524" s="116"/>
    </row>
    <row r="2525" spans="39:49" ht="13.5" customHeight="1">
      <c r="AM2525" s="247"/>
      <c r="AN2525" s="247"/>
      <c r="AO2525" s="247"/>
      <c r="AP2525" s="247"/>
      <c r="AQ2525" s="247"/>
      <c r="AR2525" s="247"/>
      <c r="AS2525" s="247"/>
      <c r="AT2525" s="247"/>
      <c r="AU2525" s="247"/>
      <c r="AW2525" s="116"/>
    </row>
    <row r="2526" spans="39:49" ht="24" customHeight="1">
      <c r="AM2526" s="247"/>
      <c r="AN2526" s="247"/>
      <c r="AO2526" s="247"/>
      <c r="AP2526" s="247"/>
      <c r="AQ2526" s="247"/>
      <c r="AR2526" s="247"/>
      <c r="AS2526" s="247"/>
      <c r="AT2526" s="247"/>
      <c r="AU2526" s="247"/>
      <c r="AW2526" s="116"/>
    </row>
    <row r="2527" spans="39:49" ht="13.5" customHeight="1">
      <c r="AM2527" s="247"/>
      <c r="AN2527" s="247"/>
      <c r="AO2527" s="247"/>
      <c r="AP2527" s="247"/>
      <c r="AQ2527" s="247"/>
      <c r="AR2527" s="247"/>
      <c r="AS2527" s="247"/>
      <c r="AT2527" s="247"/>
      <c r="AU2527" s="247"/>
      <c r="AW2527" s="116"/>
    </row>
    <row r="2528" spans="39:49" ht="24" customHeight="1">
      <c r="AM2528" s="247"/>
      <c r="AN2528" s="247"/>
      <c r="AO2528" s="247"/>
      <c r="AP2528" s="247"/>
      <c r="AQ2528" s="247"/>
      <c r="AR2528" s="247"/>
      <c r="AS2528" s="247"/>
      <c r="AT2528" s="247"/>
      <c r="AU2528" s="247"/>
      <c r="AW2528" s="116"/>
    </row>
    <row r="2529" spans="39:49" ht="13.5" customHeight="1">
      <c r="AM2529" s="247"/>
      <c r="AN2529" s="247"/>
      <c r="AO2529" s="247"/>
      <c r="AP2529" s="247"/>
      <c r="AQ2529" s="247"/>
      <c r="AR2529" s="247"/>
      <c r="AS2529" s="247"/>
      <c r="AT2529" s="247"/>
      <c r="AU2529" s="247"/>
      <c r="AW2529" s="116"/>
    </row>
    <row r="2530" spans="39:49" ht="24" customHeight="1">
      <c r="AM2530" s="247"/>
      <c r="AN2530" s="247"/>
      <c r="AO2530" s="247"/>
      <c r="AP2530" s="247"/>
      <c r="AQ2530" s="247"/>
      <c r="AR2530" s="247"/>
      <c r="AS2530" s="247"/>
      <c r="AT2530" s="247"/>
      <c r="AU2530" s="247"/>
      <c r="AW2530" s="116"/>
    </row>
    <row r="2531" spans="39:49" ht="13.5" customHeight="1">
      <c r="AM2531" s="247"/>
      <c r="AN2531" s="247"/>
      <c r="AO2531" s="247"/>
      <c r="AP2531" s="247"/>
      <c r="AQ2531" s="247"/>
      <c r="AR2531" s="247"/>
      <c r="AS2531" s="247"/>
      <c r="AT2531" s="247"/>
      <c r="AU2531" s="247"/>
      <c r="AW2531" s="116"/>
    </row>
    <row r="2532" spans="39:49" ht="24" customHeight="1">
      <c r="AM2532" s="247"/>
      <c r="AN2532" s="247"/>
      <c r="AO2532" s="247"/>
      <c r="AP2532" s="247"/>
      <c r="AQ2532" s="247"/>
      <c r="AR2532" s="247"/>
      <c r="AS2532" s="247"/>
      <c r="AT2532" s="247"/>
      <c r="AU2532" s="247"/>
      <c r="AW2532" s="116"/>
    </row>
    <row r="2533" spans="39:49" ht="13.5" customHeight="1">
      <c r="AM2533" s="247"/>
      <c r="AN2533" s="247"/>
      <c r="AO2533" s="247"/>
      <c r="AP2533" s="247"/>
      <c r="AQ2533" s="247"/>
      <c r="AR2533" s="247"/>
      <c r="AS2533" s="247"/>
      <c r="AT2533" s="247"/>
      <c r="AU2533" s="247"/>
      <c r="AW2533" s="116"/>
    </row>
    <row r="2534" spans="39:49" ht="24" customHeight="1">
      <c r="AM2534" s="247"/>
      <c r="AN2534" s="247"/>
      <c r="AO2534" s="247"/>
      <c r="AP2534" s="247"/>
      <c r="AQ2534" s="247"/>
      <c r="AR2534" s="247"/>
      <c r="AS2534" s="247"/>
      <c r="AT2534" s="247"/>
      <c r="AU2534" s="247"/>
      <c r="AW2534" s="116"/>
    </row>
    <row r="2535" spans="39:49" ht="13.5" customHeight="1">
      <c r="AM2535" s="247"/>
      <c r="AN2535" s="247"/>
      <c r="AO2535" s="247"/>
      <c r="AP2535" s="247"/>
      <c r="AQ2535" s="247"/>
      <c r="AR2535" s="247"/>
      <c r="AS2535" s="247"/>
      <c r="AT2535" s="247"/>
      <c r="AU2535" s="247"/>
      <c r="AW2535" s="116"/>
    </row>
    <row r="2536" spans="39:49" ht="24" customHeight="1">
      <c r="AM2536" s="247"/>
      <c r="AN2536" s="247"/>
      <c r="AO2536" s="247"/>
      <c r="AP2536" s="247"/>
      <c r="AQ2536" s="247"/>
      <c r="AR2536" s="247"/>
      <c r="AS2536" s="247"/>
      <c r="AT2536" s="247"/>
      <c r="AU2536" s="247"/>
      <c r="AW2536" s="116"/>
    </row>
    <row r="2537" spans="39:49" ht="13.5" customHeight="1">
      <c r="AM2537" s="247"/>
      <c r="AN2537" s="247"/>
      <c r="AO2537" s="247"/>
      <c r="AP2537" s="247"/>
      <c r="AQ2537" s="247"/>
      <c r="AR2537" s="247"/>
      <c r="AS2537" s="247"/>
      <c r="AT2537" s="247"/>
      <c r="AU2537" s="247"/>
      <c r="AW2537" s="116"/>
    </row>
    <row r="2538" spans="39:49" ht="24" customHeight="1">
      <c r="AM2538" s="247"/>
      <c r="AN2538" s="247"/>
      <c r="AO2538" s="247"/>
      <c r="AP2538" s="247"/>
      <c r="AQ2538" s="247"/>
      <c r="AR2538" s="247"/>
      <c r="AS2538" s="247"/>
      <c r="AT2538" s="247"/>
      <c r="AU2538" s="247"/>
      <c r="AW2538" s="116"/>
    </row>
    <row r="2539" spans="39:49" ht="13.5" customHeight="1">
      <c r="AM2539" s="247"/>
      <c r="AN2539" s="247"/>
      <c r="AO2539" s="247"/>
      <c r="AP2539" s="247"/>
      <c r="AQ2539" s="247"/>
      <c r="AR2539" s="247"/>
      <c r="AS2539" s="247"/>
      <c r="AT2539" s="247"/>
      <c r="AU2539" s="247"/>
      <c r="AW2539" s="116"/>
    </row>
    <row r="2540" spans="39:49" ht="24" customHeight="1">
      <c r="AM2540" s="247"/>
      <c r="AN2540" s="247"/>
      <c r="AO2540" s="247"/>
      <c r="AP2540" s="247"/>
      <c r="AQ2540" s="247"/>
      <c r="AR2540" s="247"/>
      <c r="AS2540" s="247"/>
      <c r="AT2540" s="247"/>
      <c r="AU2540" s="247"/>
      <c r="AW2540" s="116"/>
    </row>
    <row r="2541" spans="39:49" ht="13.5" customHeight="1">
      <c r="AM2541" s="247"/>
      <c r="AN2541" s="247"/>
      <c r="AO2541" s="247"/>
      <c r="AP2541" s="247"/>
      <c r="AQ2541" s="247"/>
      <c r="AR2541" s="247"/>
      <c r="AS2541" s="247"/>
      <c r="AT2541" s="247"/>
      <c r="AU2541" s="247"/>
      <c r="AW2541" s="116"/>
    </row>
    <row r="2542" spans="39:49" ht="24" customHeight="1">
      <c r="AM2542" s="247"/>
      <c r="AN2542" s="247"/>
      <c r="AO2542" s="247"/>
      <c r="AP2542" s="247"/>
      <c r="AQ2542" s="247"/>
      <c r="AR2542" s="247"/>
      <c r="AS2542" s="247"/>
      <c r="AT2542" s="247"/>
      <c r="AU2542" s="247"/>
      <c r="AW2542" s="116"/>
    </row>
    <row r="2543" spans="39:49" ht="13.5" customHeight="1">
      <c r="AM2543" s="247"/>
      <c r="AN2543" s="247"/>
      <c r="AO2543" s="247"/>
      <c r="AP2543" s="247"/>
      <c r="AQ2543" s="247"/>
      <c r="AR2543" s="247"/>
      <c r="AS2543" s="247"/>
      <c r="AT2543" s="247"/>
      <c r="AU2543" s="247"/>
      <c r="AW2543" s="116"/>
    </row>
    <row r="2544" spans="39:49" ht="24" customHeight="1">
      <c r="AM2544" s="247"/>
      <c r="AN2544" s="247"/>
      <c r="AO2544" s="247"/>
      <c r="AP2544" s="247"/>
      <c r="AQ2544" s="247"/>
      <c r="AR2544" s="247"/>
      <c r="AS2544" s="247"/>
      <c r="AT2544" s="247"/>
      <c r="AU2544" s="247"/>
      <c r="AW2544" s="116"/>
    </row>
    <row r="2545" spans="39:49" ht="13.5" customHeight="1">
      <c r="AM2545" s="247"/>
      <c r="AN2545" s="247"/>
      <c r="AO2545" s="247"/>
      <c r="AP2545" s="247"/>
      <c r="AQ2545" s="247"/>
      <c r="AR2545" s="247"/>
      <c r="AS2545" s="247"/>
      <c r="AT2545" s="247"/>
      <c r="AU2545" s="247"/>
      <c r="AW2545" s="116"/>
    </row>
    <row r="2546" spans="39:49" ht="24" customHeight="1">
      <c r="AM2546" s="247"/>
      <c r="AN2546" s="247"/>
      <c r="AO2546" s="247"/>
      <c r="AP2546" s="247"/>
      <c r="AQ2546" s="247"/>
      <c r="AR2546" s="247"/>
      <c r="AS2546" s="247"/>
      <c r="AT2546" s="247"/>
      <c r="AU2546" s="247"/>
      <c r="AW2546" s="116"/>
    </row>
    <row r="2547" spans="39:49" ht="13.5" customHeight="1">
      <c r="AM2547" s="247"/>
      <c r="AN2547" s="247"/>
      <c r="AO2547" s="247"/>
      <c r="AP2547" s="247"/>
      <c r="AQ2547" s="247"/>
      <c r="AR2547" s="247"/>
      <c r="AS2547" s="247"/>
      <c r="AT2547" s="247"/>
      <c r="AU2547" s="247"/>
      <c r="AW2547" s="116"/>
    </row>
    <row r="2548" spans="39:49" ht="24" customHeight="1">
      <c r="AM2548" s="247"/>
      <c r="AN2548" s="247"/>
      <c r="AO2548" s="247"/>
      <c r="AP2548" s="247"/>
      <c r="AQ2548" s="247"/>
      <c r="AR2548" s="247"/>
      <c r="AS2548" s="247"/>
      <c r="AT2548" s="247"/>
      <c r="AU2548" s="247"/>
      <c r="AW2548" s="116"/>
    </row>
    <row r="2549" spans="39:49" ht="13.5" customHeight="1">
      <c r="AM2549" s="247"/>
      <c r="AN2549" s="247"/>
      <c r="AO2549" s="247"/>
      <c r="AP2549" s="247"/>
      <c r="AQ2549" s="247"/>
      <c r="AR2549" s="247"/>
      <c r="AS2549" s="247"/>
      <c r="AT2549" s="247"/>
      <c r="AU2549" s="247"/>
      <c r="AW2549" s="116"/>
    </row>
    <row r="2550" spans="39:49" ht="24" customHeight="1">
      <c r="AM2550" s="247"/>
      <c r="AN2550" s="247"/>
      <c r="AO2550" s="247"/>
      <c r="AP2550" s="247"/>
      <c r="AQ2550" s="247"/>
      <c r="AR2550" s="247"/>
      <c r="AS2550" s="247"/>
      <c r="AT2550" s="247"/>
      <c r="AU2550" s="247"/>
      <c r="AW2550" s="116"/>
    </row>
    <row r="2551" spans="39:49" ht="13.5" customHeight="1">
      <c r="AM2551" s="247"/>
      <c r="AN2551" s="247"/>
      <c r="AO2551" s="247"/>
      <c r="AP2551" s="247"/>
      <c r="AQ2551" s="247"/>
      <c r="AR2551" s="247"/>
      <c r="AS2551" s="247"/>
      <c r="AT2551" s="247"/>
      <c r="AU2551" s="247"/>
      <c r="AW2551" s="116"/>
    </row>
    <row r="2552" spans="39:49" ht="24" customHeight="1">
      <c r="AM2552" s="247"/>
      <c r="AN2552" s="247"/>
      <c r="AO2552" s="247"/>
      <c r="AP2552" s="247"/>
      <c r="AQ2552" s="247"/>
      <c r="AR2552" s="247"/>
      <c r="AS2552" s="247"/>
      <c r="AT2552" s="247"/>
      <c r="AU2552" s="247"/>
      <c r="AW2552" s="116"/>
    </row>
    <row r="2553" spans="39:49" ht="13.5" customHeight="1">
      <c r="AM2553" s="247"/>
      <c r="AN2553" s="247"/>
      <c r="AO2553" s="247"/>
      <c r="AP2553" s="247"/>
      <c r="AQ2553" s="247"/>
      <c r="AR2553" s="247"/>
      <c r="AS2553" s="247"/>
      <c r="AT2553" s="247"/>
      <c r="AU2553" s="247"/>
      <c r="AW2553" s="116"/>
    </row>
    <row r="2554" spans="39:49" ht="24" customHeight="1">
      <c r="AM2554" s="247"/>
      <c r="AN2554" s="247"/>
      <c r="AO2554" s="247"/>
      <c r="AP2554" s="247"/>
      <c r="AQ2554" s="247"/>
      <c r="AR2554" s="247"/>
      <c r="AS2554" s="247"/>
      <c r="AT2554" s="247"/>
      <c r="AU2554" s="247"/>
      <c r="AW2554" s="116"/>
    </row>
    <row r="2555" spans="39:49" ht="13.5" customHeight="1">
      <c r="AM2555" s="247"/>
      <c r="AN2555" s="247"/>
      <c r="AO2555" s="247"/>
      <c r="AP2555" s="247"/>
      <c r="AQ2555" s="247"/>
      <c r="AR2555" s="247"/>
      <c r="AS2555" s="247"/>
      <c r="AT2555" s="247"/>
      <c r="AU2555" s="247"/>
      <c r="AW2555" s="116"/>
    </row>
    <row r="2556" spans="39:49" ht="24" customHeight="1">
      <c r="AM2556" s="247"/>
      <c r="AN2556" s="247"/>
      <c r="AO2556" s="247"/>
      <c r="AP2556" s="247"/>
      <c r="AQ2556" s="247"/>
      <c r="AR2556" s="247"/>
      <c r="AS2556" s="247"/>
      <c r="AT2556" s="247"/>
      <c r="AU2556" s="247"/>
      <c r="AW2556" s="116"/>
    </row>
    <row r="2557" spans="39:49" ht="13.5" customHeight="1">
      <c r="AM2557" s="247"/>
      <c r="AN2557" s="247"/>
      <c r="AO2557" s="247"/>
      <c r="AP2557" s="247"/>
      <c r="AQ2557" s="247"/>
      <c r="AR2557" s="247"/>
      <c r="AS2557" s="247"/>
      <c r="AT2557" s="247"/>
      <c r="AU2557" s="247"/>
      <c r="AW2557" s="116"/>
    </row>
    <row r="2558" spans="39:49" ht="24" customHeight="1">
      <c r="AM2558" s="247"/>
      <c r="AN2558" s="247"/>
      <c r="AO2558" s="247"/>
      <c r="AP2558" s="247"/>
      <c r="AQ2558" s="247"/>
      <c r="AR2558" s="247"/>
      <c r="AS2558" s="247"/>
      <c r="AT2558" s="247"/>
      <c r="AU2558" s="247"/>
      <c r="AW2558" s="116"/>
    </row>
    <row r="2559" spans="39:49" ht="13.5" customHeight="1">
      <c r="AM2559" s="247"/>
      <c r="AN2559" s="247"/>
      <c r="AO2559" s="247"/>
      <c r="AP2559" s="247"/>
      <c r="AQ2559" s="247"/>
      <c r="AR2559" s="247"/>
      <c r="AS2559" s="247"/>
      <c r="AT2559" s="247"/>
      <c r="AU2559" s="247"/>
      <c r="AW2559" s="116"/>
    </row>
    <row r="2560" spans="39:49" ht="24" customHeight="1">
      <c r="AM2560" s="247"/>
      <c r="AN2560" s="247"/>
      <c r="AO2560" s="247"/>
      <c r="AP2560" s="247"/>
      <c r="AQ2560" s="247"/>
      <c r="AR2560" s="247"/>
      <c r="AS2560" s="247"/>
      <c r="AT2560" s="247"/>
      <c r="AU2560" s="247"/>
      <c r="AW2560" s="116"/>
    </row>
    <row r="2561" spans="39:49" ht="13.5" customHeight="1">
      <c r="AM2561" s="247"/>
      <c r="AN2561" s="247"/>
      <c r="AO2561" s="247"/>
      <c r="AP2561" s="247"/>
      <c r="AQ2561" s="247"/>
      <c r="AR2561" s="247"/>
      <c r="AS2561" s="247"/>
      <c r="AT2561" s="247"/>
      <c r="AU2561" s="247"/>
      <c r="AW2561" s="116"/>
    </row>
    <row r="2562" spans="39:49" ht="24" customHeight="1">
      <c r="AM2562" s="247"/>
      <c r="AN2562" s="247"/>
      <c r="AO2562" s="247"/>
      <c r="AP2562" s="247"/>
      <c r="AQ2562" s="247"/>
      <c r="AR2562" s="247"/>
      <c r="AS2562" s="247"/>
      <c r="AT2562" s="247"/>
      <c r="AU2562" s="247"/>
      <c r="AW2562" s="116"/>
    </row>
    <row r="2563" spans="39:49" ht="13.5" customHeight="1">
      <c r="AM2563" s="247"/>
      <c r="AN2563" s="247"/>
      <c r="AO2563" s="247"/>
      <c r="AP2563" s="247"/>
      <c r="AQ2563" s="247"/>
      <c r="AR2563" s="247"/>
      <c r="AS2563" s="247"/>
      <c r="AT2563" s="247"/>
      <c r="AU2563" s="247"/>
      <c r="AW2563" s="116"/>
    </row>
    <row r="2564" spans="39:49" ht="24" customHeight="1">
      <c r="AM2564" s="247"/>
      <c r="AN2564" s="247"/>
      <c r="AO2564" s="247"/>
      <c r="AP2564" s="247"/>
      <c r="AQ2564" s="247"/>
      <c r="AR2564" s="247"/>
      <c r="AS2564" s="247"/>
      <c r="AT2564" s="247"/>
      <c r="AU2564" s="247"/>
      <c r="AW2564" s="116" t="s">
        <v>523</v>
      </c>
    </row>
    <row r="2565" spans="39:49" ht="13.5" customHeight="1">
      <c r="AM2565" s="247"/>
      <c r="AN2565" s="247"/>
      <c r="AO2565" s="247"/>
      <c r="AP2565" s="247"/>
      <c r="AQ2565" s="247"/>
      <c r="AR2565" s="247"/>
      <c r="AS2565" s="247"/>
      <c r="AT2565" s="247"/>
      <c r="AU2565" s="247"/>
      <c r="AW2565" s="116" t="s">
        <v>523</v>
      </c>
    </row>
    <row r="2566" spans="39:49" ht="24" customHeight="1">
      <c r="AM2566" s="247"/>
      <c r="AN2566" s="247"/>
      <c r="AO2566" s="247"/>
      <c r="AP2566" s="247"/>
      <c r="AQ2566" s="247"/>
      <c r="AR2566" s="247"/>
      <c r="AS2566" s="247"/>
      <c r="AT2566" s="247"/>
      <c r="AU2566" s="247"/>
      <c r="AW2566" s="116" t="s">
        <v>523</v>
      </c>
    </row>
    <row r="2567" spans="39:49" ht="13.5" customHeight="1">
      <c r="AM2567" s="247"/>
      <c r="AN2567" s="247"/>
      <c r="AO2567" s="247"/>
      <c r="AP2567" s="247"/>
      <c r="AQ2567" s="247"/>
      <c r="AR2567" s="247"/>
      <c r="AS2567" s="247"/>
      <c r="AT2567" s="247"/>
      <c r="AU2567" s="247"/>
      <c r="AW2567" s="116" t="s">
        <v>523</v>
      </c>
    </row>
    <row r="2568" spans="39:49" ht="24" customHeight="1">
      <c r="AM2568" s="247"/>
      <c r="AN2568" s="247"/>
      <c r="AO2568" s="247"/>
      <c r="AP2568" s="247"/>
      <c r="AQ2568" s="247"/>
      <c r="AR2568" s="247"/>
      <c r="AS2568" s="247"/>
      <c r="AT2568" s="247"/>
      <c r="AU2568" s="247"/>
      <c r="AW2568" s="116" t="s">
        <v>523</v>
      </c>
    </row>
    <row r="2569" spans="39:49" ht="13.5" customHeight="1">
      <c r="AM2569" s="247"/>
      <c r="AN2569" s="247"/>
      <c r="AO2569" s="247"/>
      <c r="AP2569" s="247"/>
      <c r="AQ2569" s="247"/>
      <c r="AR2569" s="247"/>
      <c r="AS2569" s="247"/>
      <c r="AT2569" s="247"/>
      <c r="AU2569" s="247"/>
      <c r="AW2569" s="116" t="s">
        <v>523</v>
      </c>
    </row>
    <row r="2570" spans="39:49" ht="24" customHeight="1">
      <c r="AM2570" s="247"/>
      <c r="AN2570" s="247"/>
      <c r="AO2570" s="247"/>
      <c r="AP2570" s="247"/>
      <c r="AQ2570" s="247"/>
      <c r="AR2570" s="247"/>
      <c r="AS2570" s="247"/>
      <c r="AT2570" s="247"/>
      <c r="AU2570" s="247"/>
      <c r="AW2570" s="116" t="s">
        <v>523</v>
      </c>
    </row>
    <row r="2571" spans="39:49" ht="13.5" customHeight="1">
      <c r="AM2571" s="247"/>
      <c r="AN2571" s="247"/>
      <c r="AO2571" s="247"/>
      <c r="AP2571" s="247"/>
      <c r="AQ2571" s="247"/>
      <c r="AR2571" s="247"/>
      <c r="AS2571" s="247"/>
      <c r="AT2571" s="247"/>
      <c r="AU2571" s="247"/>
      <c r="AW2571" s="116" t="s">
        <v>523</v>
      </c>
    </row>
    <row r="2572" spans="39:49" ht="24" customHeight="1">
      <c r="AM2572" s="247"/>
      <c r="AN2572" s="247"/>
      <c r="AO2572" s="247"/>
      <c r="AP2572" s="247"/>
      <c r="AQ2572" s="247"/>
      <c r="AR2572" s="247"/>
      <c r="AS2572" s="247"/>
      <c r="AT2572" s="247"/>
      <c r="AU2572" s="247"/>
      <c r="AW2572" s="116" t="s">
        <v>523</v>
      </c>
    </row>
    <row r="2573" spans="39:49" ht="13.5" customHeight="1">
      <c r="AM2573" s="247"/>
      <c r="AN2573" s="247"/>
      <c r="AO2573" s="247"/>
      <c r="AP2573" s="247"/>
      <c r="AQ2573" s="247"/>
      <c r="AR2573" s="247"/>
      <c r="AS2573" s="247"/>
      <c r="AT2573" s="247"/>
      <c r="AU2573" s="247"/>
      <c r="AW2573" s="116" t="s">
        <v>523</v>
      </c>
    </row>
    <row r="2574" spans="39:49" ht="24" customHeight="1">
      <c r="AM2574" s="247"/>
      <c r="AN2574" s="247"/>
      <c r="AO2574" s="247"/>
      <c r="AP2574" s="247"/>
      <c r="AQ2574" s="247"/>
      <c r="AR2574" s="247"/>
      <c r="AS2574" s="247"/>
      <c r="AT2574" s="247"/>
      <c r="AU2574" s="247"/>
      <c r="AW2574" s="116" t="s">
        <v>523</v>
      </c>
    </row>
    <row r="2575" spans="39:49" ht="13.5" customHeight="1">
      <c r="AM2575" s="247"/>
      <c r="AN2575" s="247"/>
      <c r="AO2575" s="247"/>
      <c r="AP2575" s="247"/>
      <c r="AQ2575" s="247"/>
      <c r="AR2575" s="247"/>
      <c r="AS2575" s="247"/>
      <c r="AT2575" s="247"/>
      <c r="AU2575" s="247"/>
      <c r="AW2575" s="116" t="s">
        <v>523</v>
      </c>
    </row>
    <row r="2576" spans="39:49" ht="24" customHeight="1">
      <c r="AM2576" s="247"/>
      <c r="AN2576" s="247"/>
      <c r="AO2576" s="247"/>
      <c r="AP2576" s="247"/>
      <c r="AQ2576" s="247"/>
      <c r="AR2576" s="247"/>
      <c r="AS2576" s="247"/>
      <c r="AT2576" s="247"/>
      <c r="AU2576" s="247"/>
      <c r="AW2576" s="116" t="s">
        <v>523</v>
      </c>
    </row>
    <row r="2577" spans="39:49" ht="13.5" customHeight="1">
      <c r="AM2577" s="247"/>
      <c r="AN2577" s="247"/>
      <c r="AO2577" s="247"/>
      <c r="AP2577" s="247"/>
      <c r="AQ2577" s="247"/>
      <c r="AR2577" s="247"/>
      <c r="AS2577" s="247"/>
      <c r="AT2577" s="247"/>
      <c r="AU2577" s="247"/>
      <c r="AW2577" s="116" t="s">
        <v>523</v>
      </c>
    </row>
    <row r="2578" spans="39:49" ht="24" customHeight="1">
      <c r="AM2578" s="247"/>
      <c r="AN2578" s="247"/>
      <c r="AO2578" s="247"/>
      <c r="AP2578" s="247"/>
      <c r="AQ2578" s="247"/>
      <c r="AR2578" s="247"/>
      <c r="AS2578" s="247"/>
      <c r="AT2578" s="247"/>
      <c r="AU2578" s="247"/>
      <c r="AW2578" s="116" t="s">
        <v>523</v>
      </c>
    </row>
    <row r="2579" spans="39:49" ht="13.5" customHeight="1">
      <c r="AM2579" s="247"/>
      <c r="AN2579" s="247"/>
      <c r="AO2579" s="247"/>
      <c r="AP2579" s="247"/>
      <c r="AQ2579" s="247"/>
      <c r="AR2579" s="247"/>
      <c r="AS2579" s="247"/>
      <c r="AT2579" s="247"/>
      <c r="AU2579" s="247"/>
      <c r="AW2579" s="116" t="s">
        <v>523</v>
      </c>
    </row>
    <row r="2580" spans="39:49" ht="24" customHeight="1">
      <c r="AM2580" s="247"/>
      <c r="AN2580" s="247"/>
      <c r="AO2580" s="247"/>
      <c r="AP2580" s="247"/>
      <c r="AQ2580" s="247"/>
      <c r="AR2580" s="247"/>
      <c r="AS2580" s="247"/>
      <c r="AT2580" s="247"/>
      <c r="AU2580" s="247"/>
      <c r="AW2580" s="116" t="s">
        <v>523</v>
      </c>
    </row>
    <row r="2581" spans="39:49" ht="13.5" customHeight="1">
      <c r="AM2581" s="247"/>
      <c r="AN2581" s="247"/>
      <c r="AO2581" s="247"/>
      <c r="AP2581" s="247"/>
      <c r="AQ2581" s="247"/>
      <c r="AR2581" s="247"/>
      <c r="AS2581" s="247"/>
      <c r="AT2581" s="247"/>
      <c r="AU2581" s="247"/>
      <c r="AW2581" s="116" t="s">
        <v>523</v>
      </c>
    </row>
    <row r="2582" spans="39:49" ht="24" customHeight="1">
      <c r="AM2582" s="247"/>
      <c r="AN2582" s="247"/>
      <c r="AO2582" s="247"/>
      <c r="AP2582" s="247"/>
      <c r="AQ2582" s="247"/>
      <c r="AR2582" s="247"/>
      <c r="AS2582" s="247"/>
      <c r="AT2582" s="247"/>
      <c r="AU2582" s="247"/>
      <c r="AW2582" s="116" t="s">
        <v>523</v>
      </c>
    </row>
    <row r="2583" spans="39:49" ht="13.5" customHeight="1">
      <c r="AM2583" s="247"/>
      <c r="AN2583" s="247"/>
      <c r="AO2583" s="247"/>
      <c r="AP2583" s="247"/>
      <c r="AQ2583" s="247"/>
      <c r="AR2583" s="247"/>
      <c r="AS2583" s="247"/>
      <c r="AT2583" s="247"/>
      <c r="AU2583" s="247"/>
      <c r="AW2583" s="116" t="s">
        <v>523</v>
      </c>
    </row>
    <row r="2584" spans="39:49" ht="24" customHeight="1">
      <c r="AM2584" s="247"/>
      <c r="AN2584" s="247"/>
      <c r="AO2584" s="247"/>
      <c r="AP2584" s="247"/>
      <c r="AQ2584" s="247"/>
      <c r="AR2584" s="247"/>
      <c r="AS2584" s="247"/>
      <c r="AT2584" s="247"/>
      <c r="AU2584" s="247"/>
      <c r="AW2584" s="116" t="s">
        <v>523</v>
      </c>
    </row>
    <row r="2585" spans="39:49" ht="13.5" customHeight="1">
      <c r="AM2585" s="247"/>
      <c r="AN2585" s="247"/>
      <c r="AO2585" s="247"/>
      <c r="AP2585" s="247"/>
      <c r="AQ2585" s="247"/>
      <c r="AR2585" s="247"/>
      <c r="AS2585" s="247"/>
      <c r="AT2585" s="247"/>
      <c r="AU2585" s="247"/>
      <c r="AW2585" s="116" t="s">
        <v>523</v>
      </c>
    </row>
    <row r="2586" spans="39:49" ht="24" customHeight="1">
      <c r="AM2586" s="247"/>
      <c r="AN2586" s="247"/>
      <c r="AO2586" s="247"/>
      <c r="AP2586" s="247"/>
      <c r="AQ2586" s="247"/>
      <c r="AR2586" s="247"/>
      <c r="AS2586" s="247"/>
      <c r="AT2586" s="247"/>
      <c r="AU2586" s="247"/>
      <c r="AW2586" s="116" t="s">
        <v>523</v>
      </c>
    </row>
    <row r="2587" spans="39:49" ht="13.5" customHeight="1">
      <c r="AM2587" s="247"/>
      <c r="AN2587" s="247"/>
      <c r="AO2587" s="247"/>
      <c r="AP2587" s="247"/>
      <c r="AQ2587" s="247"/>
      <c r="AR2587" s="247"/>
      <c r="AS2587" s="247"/>
      <c r="AT2587" s="247"/>
      <c r="AU2587" s="247"/>
      <c r="AW2587" s="116" t="s">
        <v>523</v>
      </c>
    </row>
    <row r="2588" spans="39:49" ht="24" customHeight="1">
      <c r="AM2588" s="247"/>
      <c r="AN2588" s="247"/>
      <c r="AO2588" s="247"/>
      <c r="AP2588" s="247"/>
      <c r="AQ2588" s="247"/>
      <c r="AR2588" s="247"/>
      <c r="AS2588" s="247"/>
      <c r="AT2588" s="247"/>
      <c r="AU2588" s="247"/>
      <c r="AW2588" s="116" t="s">
        <v>523</v>
      </c>
    </row>
    <row r="2589" spans="39:49" ht="13.5" customHeight="1">
      <c r="AM2589" s="247"/>
      <c r="AN2589" s="247"/>
      <c r="AO2589" s="247"/>
      <c r="AP2589" s="247"/>
      <c r="AQ2589" s="247"/>
      <c r="AR2589" s="247"/>
      <c r="AS2589" s="247"/>
      <c r="AT2589" s="247"/>
      <c r="AU2589" s="247"/>
      <c r="AW2589" s="116" t="s">
        <v>523</v>
      </c>
    </row>
    <row r="2590" spans="39:49" ht="24" customHeight="1">
      <c r="AM2590" s="247"/>
      <c r="AN2590" s="247"/>
      <c r="AO2590" s="247"/>
      <c r="AP2590" s="247"/>
      <c r="AQ2590" s="247"/>
      <c r="AR2590" s="247"/>
      <c r="AS2590" s="247"/>
      <c r="AT2590" s="247"/>
      <c r="AU2590" s="247"/>
      <c r="AW2590" s="116" t="s">
        <v>523</v>
      </c>
    </row>
    <row r="2591" spans="39:49" ht="13.5" customHeight="1">
      <c r="AM2591" s="247"/>
      <c r="AN2591" s="247"/>
      <c r="AO2591" s="247"/>
      <c r="AP2591" s="247"/>
      <c r="AQ2591" s="247"/>
      <c r="AR2591" s="247"/>
      <c r="AS2591" s="247"/>
      <c r="AT2591" s="247"/>
      <c r="AU2591" s="247"/>
      <c r="AW2591" s="116" t="s">
        <v>523</v>
      </c>
    </row>
    <row r="2592" spans="39:49" ht="24" customHeight="1">
      <c r="AM2592" s="247"/>
      <c r="AN2592" s="247"/>
      <c r="AO2592" s="247"/>
      <c r="AP2592" s="247"/>
      <c r="AQ2592" s="247"/>
      <c r="AR2592" s="247"/>
      <c r="AS2592" s="247"/>
      <c r="AT2592" s="247"/>
      <c r="AU2592" s="247"/>
      <c r="AW2592" s="116" t="s">
        <v>523</v>
      </c>
    </row>
    <row r="2593" spans="39:49" ht="13.5" customHeight="1">
      <c r="AM2593" s="247"/>
      <c r="AN2593" s="247"/>
      <c r="AO2593" s="247"/>
      <c r="AP2593" s="247"/>
      <c r="AQ2593" s="247"/>
      <c r="AR2593" s="247"/>
      <c r="AS2593" s="247"/>
      <c r="AT2593" s="247"/>
      <c r="AU2593" s="247"/>
      <c r="AW2593" s="116" t="s">
        <v>523</v>
      </c>
    </row>
    <row r="2594" spans="39:49" ht="24" customHeight="1">
      <c r="AM2594" s="247"/>
      <c r="AN2594" s="247"/>
      <c r="AO2594" s="247"/>
      <c r="AP2594" s="247"/>
      <c r="AQ2594" s="247"/>
      <c r="AR2594" s="247"/>
      <c r="AS2594" s="247"/>
      <c r="AT2594" s="247"/>
      <c r="AU2594" s="247"/>
      <c r="AW2594" s="116" t="s">
        <v>523</v>
      </c>
    </row>
    <row r="2595" spans="39:49" ht="13.5" customHeight="1">
      <c r="AM2595" s="247"/>
      <c r="AN2595" s="247"/>
      <c r="AO2595" s="247"/>
      <c r="AP2595" s="247"/>
      <c r="AQ2595" s="247"/>
      <c r="AR2595" s="247"/>
      <c r="AS2595" s="247"/>
      <c r="AT2595" s="247"/>
      <c r="AU2595" s="247"/>
      <c r="AW2595" s="116" t="s">
        <v>523</v>
      </c>
    </row>
    <row r="2596" spans="39:49" ht="24" customHeight="1">
      <c r="AM2596" s="247"/>
      <c r="AN2596" s="247"/>
      <c r="AO2596" s="247"/>
      <c r="AP2596" s="247"/>
      <c r="AQ2596" s="247"/>
      <c r="AR2596" s="247"/>
      <c r="AS2596" s="247"/>
      <c r="AT2596" s="247"/>
      <c r="AU2596" s="247"/>
      <c r="AW2596" s="116" t="s">
        <v>523</v>
      </c>
    </row>
    <row r="2597" spans="39:49" ht="13.5" customHeight="1">
      <c r="AM2597" s="247"/>
      <c r="AN2597" s="247"/>
      <c r="AO2597" s="247"/>
      <c r="AP2597" s="247"/>
      <c r="AQ2597" s="247"/>
      <c r="AR2597" s="247"/>
      <c r="AS2597" s="247"/>
      <c r="AT2597" s="247"/>
      <c r="AU2597" s="247"/>
      <c r="AW2597" s="116" t="s">
        <v>523</v>
      </c>
    </row>
    <row r="2598" spans="39:49" ht="24" customHeight="1">
      <c r="AM2598" s="247"/>
      <c r="AN2598" s="247"/>
      <c r="AO2598" s="247"/>
      <c r="AP2598" s="247"/>
      <c r="AQ2598" s="247"/>
      <c r="AR2598" s="247"/>
      <c r="AS2598" s="247"/>
      <c r="AT2598" s="247"/>
      <c r="AU2598" s="247"/>
      <c r="AW2598" s="116" t="s">
        <v>523</v>
      </c>
    </row>
    <row r="2599" spans="39:49" ht="13.5" customHeight="1">
      <c r="AM2599" s="247"/>
      <c r="AN2599" s="247"/>
      <c r="AO2599" s="247"/>
      <c r="AP2599" s="247"/>
      <c r="AQ2599" s="247"/>
      <c r="AR2599" s="247"/>
      <c r="AS2599" s="247"/>
      <c r="AT2599" s="247"/>
      <c r="AU2599" s="247"/>
      <c r="AW2599" s="116" t="s">
        <v>523</v>
      </c>
    </row>
    <row r="2600" spans="39:49" ht="24" customHeight="1">
      <c r="AM2600" s="247"/>
      <c r="AN2600" s="247"/>
      <c r="AO2600" s="247"/>
      <c r="AP2600" s="247"/>
      <c r="AQ2600" s="247"/>
      <c r="AR2600" s="247"/>
      <c r="AS2600" s="247"/>
      <c r="AT2600" s="247"/>
      <c r="AU2600" s="247"/>
      <c r="AW2600" s="116" t="s">
        <v>523</v>
      </c>
    </row>
    <row r="2601" spans="39:49" ht="13.5" customHeight="1">
      <c r="AM2601" s="247"/>
      <c r="AN2601" s="247"/>
      <c r="AO2601" s="247"/>
      <c r="AP2601" s="247"/>
      <c r="AQ2601" s="247"/>
      <c r="AR2601" s="247"/>
      <c r="AS2601" s="247"/>
      <c r="AT2601" s="247"/>
      <c r="AU2601" s="247"/>
      <c r="AW2601" s="116" t="s">
        <v>523</v>
      </c>
    </row>
    <row r="2602" spans="39:49" ht="24" customHeight="1">
      <c r="AM2602" s="247"/>
      <c r="AN2602" s="247"/>
      <c r="AO2602" s="247"/>
      <c r="AP2602" s="247"/>
      <c r="AQ2602" s="247"/>
      <c r="AR2602" s="247"/>
      <c r="AS2602" s="247"/>
      <c r="AT2602" s="247"/>
      <c r="AU2602" s="247"/>
      <c r="AW2602" s="116" t="s">
        <v>523</v>
      </c>
    </row>
    <row r="2603" spans="39:49" ht="13.5" customHeight="1">
      <c r="AM2603" s="247"/>
      <c r="AN2603" s="247"/>
      <c r="AO2603" s="247"/>
      <c r="AP2603" s="247"/>
      <c r="AQ2603" s="247"/>
      <c r="AR2603" s="247"/>
      <c r="AS2603" s="247"/>
      <c r="AT2603" s="247"/>
      <c r="AU2603" s="247"/>
      <c r="AW2603" s="116" t="s">
        <v>523</v>
      </c>
    </row>
    <row r="2604" spans="39:49" ht="24" customHeight="1">
      <c r="AM2604" s="247"/>
      <c r="AN2604" s="247"/>
      <c r="AO2604" s="247"/>
      <c r="AP2604" s="247"/>
      <c r="AQ2604" s="247"/>
      <c r="AR2604" s="247"/>
      <c r="AS2604" s="247"/>
      <c r="AT2604" s="247"/>
      <c r="AU2604" s="247"/>
      <c r="AW2604" s="116" t="s">
        <v>523</v>
      </c>
    </row>
    <row r="2605" spans="39:49" ht="13.5" customHeight="1">
      <c r="AM2605" s="247"/>
      <c r="AN2605" s="247"/>
      <c r="AO2605" s="247"/>
      <c r="AP2605" s="247"/>
      <c r="AQ2605" s="247"/>
      <c r="AR2605" s="247"/>
      <c r="AS2605" s="247"/>
      <c r="AT2605" s="247"/>
      <c r="AU2605" s="247"/>
      <c r="AW2605" s="116" t="s">
        <v>523</v>
      </c>
    </row>
    <row r="2606" spans="39:49" ht="24" customHeight="1">
      <c r="AM2606" s="247"/>
      <c r="AN2606" s="247"/>
      <c r="AO2606" s="247"/>
      <c r="AP2606" s="247"/>
      <c r="AQ2606" s="247"/>
      <c r="AR2606" s="247"/>
      <c r="AS2606" s="247"/>
      <c r="AT2606" s="247"/>
      <c r="AU2606" s="247"/>
      <c r="AW2606" s="116" t="s">
        <v>523</v>
      </c>
    </row>
    <row r="2607" spans="39:49" ht="13.5" customHeight="1">
      <c r="AM2607" s="247"/>
      <c r="AN2607" s="247"/>
      <c r="AO2607" s="247"/>
      <c r="AP2607" s="247"/>
      <c r="AQ2607" s="247"/>
      <c r="AR2607" s="247"/>
      <c r="AS2607" s="247"/>
      <c r="AT2607" s="247"/>
      <c r="AU2607" s="247"/>
      <c r="AW2607" s="116" t="s">
        <v>523</v>
      </c>
    </row>
    <row r="2608" spans="39:49" ht="24" customHeight="1">
      <c r="AM2608" s="247"/>
      <c r="AN2608" s="247"/>
      <c r="AO2608" s="247"/>
      <c r="AP2608" s="247"/>
      <c r="AQ2608" s="247"/>
      <c r="AR2608" s="247"/>
      <c r="AS2608" s="247"/>
      <c r="AT2608" s="247"/>
      <c r="AU2608" s="247"/>
      <c r="AW2608" s="116" t="s">
        <v>523</v>
      </c>
    </row>
    <row r="2609" spans="39:49" ht="13.5" customHeight="1">
      <c r="AM2609" s="247"/>
      <c r="AN2609" s="247"/>
      <c r="AO2609" s="247"/>
      <c r="AP2609" s="247"/>
      <c r="AQ2609" s="247"/>
      <c r="AR2609" s="247"/>
      <c r="AS2609" s="247"/>
      <c r="AT2609" s="247"/>
      <c r="AU2609" s="247"/>
      <c r="AW2609" s="116" t="s">
        <v>523</v>
      </c>
    </row>
    <row r="2610" spans="39:49" ht="24" customHeight="1">
      <c r="AM2610" s="247"/>
      <c r="AN2610" s="247"/>
      <c r="AO2610" s="247"/>
      <c r="AP2610" s="247"/>
      <c r="AQ2610" s="247"/>
      <c r="AR2610" s="247"/>
      <c r="AS2610" s="247"/>
      <c r="AT2610" s="247"/>
      <c r="AU2610" s="247"/>
      <c r="AW2610" s="116" t="s">
        <v>523</v>
      </c>
    </row>
    <row r="2611" spans="39:49" ht="13.5" customHeight="1">
      <c r="AM2611" s="247"/>
      <c r="AN2611" s="247"/>
      <c r="AO2611" s="247"/>
      <c r="AP2611" s="247"/>
      <c r="AQ2611" s="247"/>
      <c r="AR2611" s="247"/>
      <c r="AS2611" s="247"/>
      <c r="AT2611" s="247"/>
      <c r="AU2611" s="247"/>
      <c r="AW2611" s="116" t="s">
        <v>523</v>
      </c>
    </row>
    <row r="2612" spans="39:49" ht="24" customHeight="1">
      <c r="AM2612" s="247"/>
      <c r="AN2612" s="247"/>
      <c r="AO2612" s="247"/>
      <c r="AP2612" s="247"/>
      <c r="AQ2612" s="247"/>
      <c r="AR2612" s="247"/>
      <c r="AS2612" s="247"/>
      <c r="AT2612" s="247"/>
      <c r="AU2612" s="247"/>
      <c r="AW2612" s="116" t="s">
        <v>523</v>
      </c>
    </row>
    <row r="2613" spans="39:49" ht="13.5" customHeight="1">
      <c r="AM2613" s="247"/>
      <c r="AN2613" s="247"/>
      <c r="AO2613" s="247"/>
      <c r="AP2613" s="247"/>
      <c r="AQ2613" s="247"/>
      <c r="AR2613" s="247"/>
      <c r="AS2613" s="247"/>
      <c r="AT2613" s="247"/>
      <c r="AU2613" s="247"/>
      <c r="AW2613" s="116" t="s">
        <v>523</v>
      </c>
    </row>
    <row r="2614" spans="39:49" ht="24" customHeight="1">
      <c r="AM2614" s="247"/>
      <c r="AN2614" s="247"/>
      <c r="AO2614" s="247"/>
      <c r="AP2614" s="247"/>
      <c r="AQ2614" s="247"/>
      <c r="AR2614" s="247"/>
      <c r="AS2614" s="247"/>
      <c r="AT2614" s="247"/>
      <c r="AU2614" s="247"/>
      <c r="AW2614" s="116" t="s">
        <v>523</v>
      </c>
    </row>
    <row r="2615" spans="39:49" ht="13.5" customHeight="1">
      <c r="AM2615" s="247"/>
      <c r="AN2615" s="247"/>
      <c r="AO2615" s="247"/>
      <c r="AP2615" s="247"/>
      <c r="AQ2615" s="247"/>
      <c r="AR2615" s="247"/>
      <c r="AS2615" s="247"/>
      <c r="AT2615" s="247"/>
      <c r="AU2615" s="247"/>
      <c r="AW2615" s="116" t="s">
        <v>523</v>
      </c>
    </row>
    <row r="2616" spans="39:49" ht="24" customHeight="1">
      <c r="AM2616" s="247"/>
      <c r="AN2616" s="247"/>
      <c r="AO2616" s="247"/>
      <c r="AP2616" s="247"/>
      <c r="AQ2616" s="247"/>
      <c r="AR2616" s="247"/>
      <c r="AS2616" s="247"/>
      <c r="AT2616" s="247"/>
      <c r="AU2616" s="247"/>
      <c r="AW2616" s="116" t="s">
        <v>523</v>
      </c>
    </row>
    <row r="2617" spans="39:49" ht="13.5" customHeight="1">
      <c r="AM2617" s="247"/>
      <c r="AN2617" s="247"/>
      <c r="AO2617" s="247"/>
      <c r="AP2617" s="247"/>
      <c r="AQ2617" s="247"/>
      <c r="AR2617" s="247"/>
      <c r="AS2617" s="247"/>
      <c r="AT2617" s="247"/>
      <c r="AU2617" s="247"/>
      <c r="AW2617" s="116" t="s">
        <v>523</v>
      </c>
    </row>
    <row r="2618" spans="39:49" ht="24" customHeight="1">
      <c r="AM2618" s="247"/>
      <c r="AN2618" s="247"/>
      <c r="AO2618" s="247"/>
      <c r="AP2618" s="247"/>
      <c r="AQ2618" s="247"/>
      <c r="AR2618" s="247"/>
      <c r="AS2618" s="247"/>
      <c r="AT2618" s="247"/>
      <c r="AU2618" s="247"/>
      <c r="AW2618" s="116" t="s">
        <v>523</v>
      </c>
    </row>
    <row r="2619" spans="39:49" ht="13.5" customHeight="1">
      <c r="AM2619" s="247"/>
      <c r="AN2619" s="247"/>
      <c r="AO2619" s="247"/>
      <c r="AP2619" s="247"/>
      <c r="AQ2619" s="247"/>
      <c r="AR2619" s="247"/>
      <c r="AS2619" s="247"/>
      <c r="AT2619" s="247"/>
      <c r="AU2619" s="247"/>
      <c r="AW2619" s="116" t="s">
        <v>523</v>
      </c>
    </row>
    <row r="2620" spans="39:49" ht="24" customHeight="1">
      <c r="AM2620" s="247"/>
      <c r="AN2620" s="247"/>
      <c r="AO2620" s="247"/>
      <c r="AP2620" s="247"/>
      <c r="AQ2620" s="247"/>
      <c r="AR2620" s="247"/>
      <c r="AS2620" s="247"/>
      <c r="AT2620" s="247"/>
      <c r="AU2620" s="247"/>
      <c r="AW2620" s="116" t="s">
        <v>523</v>
      </c>
    </row>
    <row r="2621" spans="39:49" ht="13.5" customHeight="1">
      <c r="AM2621" s="247"/>
      <c r="AN2621" s="247"/>
      <c r="AO2621" s="247"/>
      <c r="AP2621" s="247"/>
      <c r="AQ2621" s="247"/>
      <c r="AR2621" s="247"/>
      <c r="AS2621" s="247"/>
      <c r="AT2621" s="247"/>
      <c r="AU2621" s="247"/>
      <c r="AW2621" s="116" t="s">
        <v>523</v>
      </c>
    </row>
    <row r="2622" spans="39:49" ht="24" customHeight="1">
      <c r="AM2622" s="247"/>
      <c r="AN2622" s="247"/>
      <c r="AO2622" s="247"/>
      <c r="AP2622" s="247"/>
      <c r="AQ2622" s="247"/>
      <c r="AR2622" s="247"/>
      <c r="AS2622" s="247"/>
      <c r="AT2622" s="247"/>
      <c r="AU2622" s="247"/>
      <c r="AW2622" s="116" t="s">
        <v>523</v>
      </c>
    </row>
    <row r="2623" spans="39:49" ht="13.5" customHeight="1">
      <c r="AM2623" s="247"/>
      <c r="AN2623" s="247"/>
      <c r="AO2623" s="247"/>
      <c r="AP2623" s="247"/>
      <c r="AQ2623" s="247"/>
      <c r="AR2623" s="247"/>
      <c r="AS2623" s="247"/>
      <c r="AT2623" s="247"/>
      <c r="AU2623" s="247"/>
      <c r="AW2623" s="116" t="s">
        <v>523</v>
      </c>
    </row>
    <row r="2624" spans="39:49" ht="24" customHeight="1">
      <c r="AM2624" s="247"/>
      <c r="AN2624" s="247"/>
      <c r="AO2624" s="247"/>
      <c r="AP2624" s="247"/>
      <c r="AQ2624" s="247"/>
      <c r="AR2624" s="247"/>
      <c r="AS2624" s="247"/>
      <c r="AT2624" s="247"/>
      <c r="AU2624" s="247"/>
      <c r="AW2624" s="116" t="s">
        <v>523</v>
      </c>
    </row>
    <row r="2625" spans="39:49" ht="13.5" customHeight="1">
      <c r="AM2625" s="247"/>
      <c r="AN2625" s="247"/>
      <c r="AO2625" s="247"/>
      <c r="AP2625" s="247"/>
      <c r="AQ2625" s="247"/>
      <c r="AR2625" s="247"/>
      <c r="AS2625" s="247"/>
      <c r="AT2625" s="247"/>
      <c r="AU2625" s="247"/>
      <c r="AW2625" s="116" t="s">
        <v>523</v>
      </c>
    </row>
    <row r="2626" spans="39:49" ht="24" customHeight="1">
      <c r="AM2626" s="247"/>
      <c r="AN2626" s="247"/>
      <c r="AO2626" s="247"/>
      <c r="AP2626" s="247"/>
      <c r="AQ2626" s="247"/>
      <c r="AR2626" s="247"/>
      <c r="AS2626" s="247"/>
      <c r="AT2626" s="247"/>
      <c r="AU2626" s="247"/>
      <c r="AW2626" s="116" t="s">
        <v>523</v>
      </c>
    </row>
    <row r="2627" spans="39:49" ht="13.5" customHeight="1">
      <c r="AM2627" s="247"/>
      <c r="AN2627" s="247"/>
      <c r="AO2627" s="247"/>
      <c r="AP2627" s="247"/>
      <c r="AQ2627" s="247"/>
      <c r="AR2627" s="247"/>
      <c r="AS2627" s="247"/>
      <c r="AT2627" s="247"/>
      <c r="AU2627" s="247"/>
      <c r="AW2627" s="116" t="s">
        <v>523</v>
      </c>
    </row>
    <row r="2628" spans="39:49" ht="24" customHeight="1">
      <c r="AM2628" s="247"/>
      <c r="AN2628" s="247"/>
      <c r="AO2628" s="247"/>
      <c r="AP2628" s="247"/>
      <c r="AQ2628" s="247"/>
      <c r="AR2628" s="247"/>
      <c r="AS2628" s="247"/>
      <c r="AT2628" s="247"/>
      <c r="AU2628" s="247"/>
      <c r="AW2628" s="116" t="s">
        <v>523</v>
      </c>
    </row>
    <row r="2629" spans="39:49" ht="13.5" customHeight="1">
      <c r="AM2629" s="247"/>
      <c r="AN2629" s="247"/>
      <c r="AO2629" s="247"/>
      <c r="AP2629" s="247"/>
      <c r="AQ2629" s="247"/>
      <c r="AR2629" s="247"/>
      <c r="AS2629" s="247"/>
      <c r="AT2629" s="247"/>
      <c r="AU2629" s="247"/>
      <c r="AW2629" s="116" t="s">
        <v>523</v>
      </c>
    </row>
    <row r="2630" spans="39:49" ht="24" customHeight="1">
      <c r="AM2630" s="247"/>
      <c r="AN2630" s="247"/>
      <c r="AO2630" s="247"/>
      <c r="AP2630" s="247"/>
      <c r="AQ2630" s="247"/>
      <c r="AR2630" s="247"/>
      <c r="AS2630" s="247"/>
      <c r="AT2630" s="247"/>
      <c r="AU2630" s="247"/>
      <c r="AW2630" s="116" t="s">
        <v>523</v>
      </c>
    </row>
    <row r="2631" spans="39:49" ht="13.5" customHeight="1">
      <c r="AM2631" s="247"/>
      <c r="AN2631" s="247"/>
      <c r="AO2631" s="247"/>
      <c r="AP2631" s="247"/>
      <c r="AQ2631" s="247"/>
      <c r="AR2631" s="247"/>
      <c r="AS2631" s="247"/>
      <c r="AT2631" s="247"/>
      <c r="AU2631" s="247"/>
      <c r="AW2631" s="116" t="s">
        <v>523</v>
      </c>
    </row>
    <row r="2632" spans="39:49" ht="24" customHeight="1">
      <c r="AM2632" s="247"/>
      <c r="AN2632" s="247"/>
      <c r="AO2632" s="247"/>
      <c r="AP2632" s="247"/>
      <c r="AQ2632" s="247"/>
      <c r="AR2632" s="247"/>
      <c r="AS2632" s="247"/>
      <c r="AT2632" s="247"/>
      <c r="AU2632" s="247"/>
      <c r="AW2632" s="116" t="s">
        <v>523</v>
      </c>
    </row>
    <row r="2633" spans="39:49" ht="13.5" customHeight="1">
      <c r="AM2633" s="247"/>
      <c r="AN2633" s="247"/>
      <c r="AO2633" s="247"/>
      <c r="AP2633" s="247"/>
      <c r="AQ2633" s="247"/>
      <c r="AR2633" s="247"/>
      <c r="AS2633" s="247"/>
      <c r="AT2633" s="247"/>
      <c r="AU2633" s="247"/>
      <c r="AW2633" s="116" t="s">
        <v>523</v>
      </c>
    </row>
    <row r="2634" spans="39:49" ht="24" customHeight="1">
      <c r="AM2634" s="247"/>
      <c r="AN2634" s="247"/>
      <c r="AO2634" s="247"/>
      <c r="AP2634" s="247"/>
      <c r="AQ2634" s="247"/>
      <c r="AR2634" s="247"/>
      <c r="AS2634" s="247"/>
      <c r="AT2634" s="247"/>
      <c r="AU2634" s="247"/>
      <c r="AW2634" s="116" t="s">
        <v>523</v>
      </c>
    </row>
    <row r="2635" spans="39:49" ht="13.5" customHeight="1">
      <c r="AM2635" s="247"/>
      <c r="AN2635" s="247"/>
      <c r="AO2635" s="247"/>
      <c r="AP2635" s="247"/>
      <c r="AQ2635" s="247"/>
      <c r="AR2635" s="247"/>
      <c r="AS2635" s="247"/>
      <c r="AT2635" s="247"/>
      <c r="AU2635" s="247"/>
      <c r="AW2635" s="116" t="s">
        <v>523</v>
      </c>
    </row>
    <row r="2636" spans="39:49" ht="24" customHeight="1">
      <c r="AM2636" s="247"/>
      <c r="AN2636" s="247"/>
      <c r="AO2636" s="247"/>
      <c r="AP2636" s="247"/>
      <c r="AQ2636" s="247"/>
      <c r="AR2636" s="247"/>
      <c r="AS2636" s="247"/>
      <c r="AT2636" s="247"/>
      <c r="AU2636" s="247"/>
      <c r="AW2636" s="116" t="s">
        <v>523</v>
      </c>
    </row>
    <row r="2637" spans="39:49" ht="13.5" customHeight="1">
      <c r="AM2637" s="247"/>
      <c r="AN2637" s="247"/>
      <c r="AO2637" s="247"/>
      <c r="AP2637" s="247"/>
      <c r="AQ2637" s="247"/>
      <c r="AR2637" s="247"/>
      <c r="AS2637" s="247"/>
      <c r="AT2637" s="247"/>
      <c r="AU2637" s="247"/>
      <c r="AW2637" s="116" t="s">
        <v>523</v>
      </c>
    </row>
    <row r="2638" spans="39:49" ht="24" customHeight="1">
      <c r="AM2638" s="247"/>
      <c r="AN2638" s="247"/>
      <c r="AO2638" s="247"/>
      <c r="AP2638" s="247"/>
      <c r="AQ2638" s="247"/>
      <c r="AR2638" s="247"/>
      <c r="AS2638" s="247"/>
      <c r="AT2638" s="247"/>
      <c r="AU2638" s="247"/>
      <c r="AW2638" s="116" t="s">
        <v>523</v>
      </c>
    </row>
    <row r="2639" spans="39:49" ht="13.5" customHeight="1">
      <c r="AM2639" s="247"/>
      <c r="AN2639" s="247"/>
      <c r="AO2639" s="247"/>
      <c r="AP2639" s="247"/>
      <c r="AQ2639" s="247"/>
      <c r="AR2639" s="247"/>
      <c r="AS2639" s="247"/>
      <c r="AT2639" s="247"/>
      <c r="AU2639" s="247"/>
      <c r="AW2639" s="116" t="s">
        <v>523</v>
      </c>
    </row>
    <row r="2640" spans="39:49" ht="24" customHeight="1">
      <c r="AM2640" s="247"/>
      <c r="AN2640" s="247"/>
      <c r="AO2640" s="247"/>
      <c r="AP2640" s="247"/>
      <c r="AQ2640" s="247"/>
      <c r="AR2640" s="247"/>
      <c r="AS2640" s="247"/>
      <c r="AT2640" s="247"/>
      <c r="AU2640" s="247"/>
      <c r="AW2640" s="116" t="s">
        <v>523</v>
      </c>
    </row>
    <row r="2641" spans="39:49" ht="13.5" customHeight="1">
      <c r="AM2641" s="247"/>
      <c r="AN2641" s="247"/>
      <c r="AO2641" s="247"/>
      <c r="AP2641" s="247"/>
      <c r="AQ2641" s="247"/>
      <c r="AR2641" s="247"/>
      <c r="AS2641" s="247"/>
      <c r="AT2641" s="247"/>
      <c r="AU2641" s="247"/>
      <c r="AW2641" s="116" t="s">
        <v>523</v>
      </c>
    </row>
    <row r="2642" spans="39:49" ht="24" customHeight="1">
      <c r="AM2642" s="247"/>
      <c r="AN2642" s="247"/>
      <c r="AO2642" s="247"/>
      <c r="AP2642" s="247"/>
      <c r="AQ2642" s="247"/>
      <c r="AR2642" s="247"/>
      <c r="AS2642" s="247"/>
      <c r="AT2642" s="247"/>
      <c r="AU2642" s="247"/>
      <c r="AW2642" s="116" t="s">
        <v>523</v>
      </c>
    </row>
    <row r="2643" spans="39:49" ht="13.5" customHeight="1">
      <c r="AM2643" s="247"/>
      <c r="AN2643" s="247"/>
      <c r="AO2643" s="247"/>
      <c r="AP2643" s="247"/>
      <c r="AQ2643" s="247"/>
      <c r="AR2643" s="247"/>
      <c r="AS2643" s="247"/>
      <c r="AT2643" s="247"/>
      <c r="AU2643" s="247"/>
      <c r="AW2643" s="116" t="s">
        <v>523</v>
      </c>
    </row>
    <row r="2644" spans="39:49" ht="24" customHeight="1">
      <c r="AM2644" s="247"/>
      <c r="AN2644" s="247"/>
      <c r="AO2644" s="247"/>
      <c r="AP2644" s="247"/>
      <c r="AQ2644" s="247"/>
      <c r="AR2644" s="247"/>
      <c r="AS2644" s="247"/>
      <c r="AT2644" s="247"/>
      <c r="AU2644" s="247"/>
      <c r="AW2644" s="116" t="s">
        <v>523</v>
      </c>
    </row>
    <row r="2645" spans="39:49" ht="13.5" customHeight="1">
      <c r="AM2645" s="247"/>
      <c r="AN2645" s="247"/>
      <c r="AO2645" s="247"/>
      <c r="AP2645" s="247"/>
      <c r="AQ2645" s="247"/>
      <c r="AR2645" s="247"/>
      <c r="AS2645" s="247"/>
      <c r="AT2645" s="247"/>
      <c r="AU2645" s="247"/>
      <c r="AW2645" s="116" t="s">
        <v>523</v>
      </c>
    </row>
    <row r="2646" spans="39:49" ht="24" customHeight="1">
      <c r="AM2646" s="247"/>
      <c r="AN2646" s="247"/>
      <c r="AO2646" s="247"/>
      <c r="AP2646" s="247"/>
      <c r="AQ2646" s="247"/>
      <c r="AR2646" s="247"/>
      <c r="AS2646" s="247"/>
      <c r="AT2646" s="247"/>
      <c r="AU2646" s="247"/>
      <c r="AW2646" s="116" t="s">
        <v>523</v>
      </c>
    </row>
    <row r="2647" spans="39:49" ht="13.5" customHeight="1">
      <c r="AM2647" s="247"/>
      <c r="AN2647" s="247"/>
      <c r="AO2647" s="247"/>
      <c r="AP2647" s="247"/>
      <c r="AQ2647" s="247"/>
      <c r="AR2647" s="247"/>
      <c r="AS2647" s="247"/>
      <c r="AT2647" s="247"/>
      <c r="AU2647" s="247"/>
      <c r="AW2647" s="116" t="s">
        <v>523</v>
      </c>
    </row>
    <row r="2648" spans="39:49" ht="24" customHeight="1">
      <c r="AM2648" s="247"/>
      <c r="AN2648" s="247"/>
      <c r="AO2648" s="247"/>
      <c r="AP2648" s="247"/>
      <c r="AQ2648" s="247"/>
      <c r="AR2648" s="247"/>
      <c r="AS2648" s="247"/>
      <c r="AT2648" s="247"/>
      <c r="AU2648" s="247"/>
      <c r="AW2648" s="116" t="s">
        <v>523</v>
      </c>
    </row>
    <row r="2649" spans="39:49" ht="13.5" customHeight="1">
      <c r="AM2649" s="247"/>
      <c r="AN2649" s="247"/>
      <c r="AO2649" s="247"/>
      <c r="AP2649" s="247"/>
      <c r="AQ2649" s="247"/>
      <c r="AR2649" s="247"/>
      <c r="AS2649" s="247"/>
      <c r="AT2649" s="247"/>
      <c r="AU2649" s="247"/>
      <c r="AW2649" s="116" t="s">
        <v>523</v>
      </c>
    </row>
    <row r="2650" spans="39:49" ht="24" customHeight="1">
      <c r="AM2650" s="247"/>
      <c r="AN2650" s="247"/>
      <c r="AO2650" s="247"/>
      <c r="AP2650" s="247"/>
      <c r="AQ2650" s="247"/>
      <c r="AR2650" s="247"/>
      <c r="AS2650" s="247"/>
      <c r="AT2650" s="247"/>
      <c r="AU2650" s="247"/>
      <c r="AW2650" s="116" t="s">
        <v>523</v>
      </c>
    </row>
    <row r="2651" spans="39:49" ht="13.5" customHeight="1">
      <c r="AM2651" s="247"/>
      <c r="AN2651" s="247"/>
      <c r="AO2651" s="247"/>
      <c r="AP2651" s="247"/>
      <c r="AQ2651" s="247"/>
      <c r="AR2651" s="247"/>
      <c r="AS2651" s="247"/>
      <c r="AT2651" s="247"/>
      <c r="AU2651" s="247"/>
      <c r="AW2651" s="116" t="s">
        <v>523</v>
      </c>
    </row>
    <row r="2652" spans="39:49" ht="24" customHeight="1">
      <c r="AM2652" s="247"/>
      <c r="AN2652" s="247"/>
      <c r="AO2652" s="247"/>
      <c r="AP2652" s="247"/>
      <c r="AQ2652" s="247"/>
      <c r="AR2652" s="247"/>
      <c r="AS2652" s="247"/>
      <c r="AT2652" s="247"/>
      <c r="AU2652" s="247"/>
      <c r="AW2652" s="116" t="s">
        <v>523</v>
      </c>
    </row>
    <row r="2653" spans="39:49" ht="13.5" customHeight="1">
      <c r="AM2653" s="247"/>
      <c r="AN2653" s="247"/>
      <c r="AO2653" s="247"/>
      <c r="AP2653" s="247"/>
      <c r="AQ2653" s="247"/>
      <c r="AR2653" s="247"/>
      <c r="AS2653" s="247"/>
      <c r="AT2653" s="247"/>
      <c r="AU2653" s="247"/>
      <c r="AW2653" s="116" t="s">
        <v>523</v>
      </c>
    </row>
    <row r="2654" spans="39:49" ht="24" customHeight="1">
      <c r="AM2654" s="247"/>
      <c r="AN2654" s="247"/>
      <c r="AO2654" s="247"/>
      <c r="AP2654" s="247"/>
      <c r="AQ2654" s="247"/>
      <c r="AR2654" s="247"/>
      <c r="AS2654" s="247"/>
      <c r="AT2654" s="247"/>
      <c r="AU2654" s="247"/>
      <c r="AW2654" s="116" t="s">
        <v>523</v>
      </c>
    </row>
    <row r="2655" spans="39:49" ht="13.5" customHeight="1">
      <c r="AM2655" s="247"/>
      <c r="AN2655" s="247"/>
      <c r="AO2655" s="247"/>
      <c r="AP2655" s="247"/>
      <c r="AQ2655" s="247"/>
      <c r="AR2655" s="247"/>
      <c r="AS2655" s="247"/>
      <c r="AT2655" s="247"/>
      <c r="AU2655" s="247"/>
      <c r="AW2655" s="116" t="s">
        <v>523</v>
      </c>
    </row>
    <row r="2656" spans="39:49" ht="24" customHeight="1">
      <c r="AM2656" s="247"/>
      <c r="AN2656" s="247"/>
      <c r="AO2656" s="247"/>
      <c r="AP2656" s="247"/>
      <c r="AQ2656" s="247"/>
      <c r="AR2656" s="247"/>
      <c r="AS2656" s="247"/>
      <c r="AT2656" s="247"/>
      <c r="AU2656" s="247"/>
      <c r="AW2656" s="116" t="s">
        <v>523</v>
      </c>
    </row>
    <row r="2657" spans="39:49" ht="13.5" customHeight="1">
      <c r="AM2657" s="247"/>
      <c r="AN2657" s="247"/>
      <c r="AO2657" s="247"/>
      <c r="AP2657" s="247"/>
      <c r="AQ2657" s="247"/>
      <c r="AR2657" s="247"/>
      <c r="AS2657" s="247"/>
      <c r="AT2657" s="247"/>
      <c r="AU2657" s="247"/>
      <c r="AW2657" s="116" t="s">
        <v>523</v>
      </c>
    </row>
    <row r="2658" spans="39:49" ht="24" customHeight="1">
      <c r="AM2658" s="247"/>
      <c r="AN2658" s="247"/>
      <c r="AO2658" s="247"/>
      <c r="AP2658" s="247"/>
      <c r="AQ2658" s="247"/>
      <c r="AR2658" s="247"/>
      <c r="AS2658" s="247"/>
      <c r="AT2658" s="247"/>
      <c r="AU2658" s="247"/>
      <c r="AW2658" s="116" t="s">
        <v>523</v>
      </c>
    </row>
    <row r="2659" spans="39:49" ht="13.5" customHeight="1">
      <c r="AM2659" s="247"/>
      <c r="AN2659" s="247"/>
      <c r="AO2659" s="247"/>
      <c r="AP2659" s="247"/>
      <c r="AQ2659" s="247"/>
      <c r="AR2659" s="247"/>
      <c r="AS2659" s="247"/>
      <c r="AT2659" s="247"/>
      <c r="AU2659" s="247"/>
      <c r="AW2659" s="116" t="s">
        <v>523</v>
      </c>
    </row>
    <row r="2660" spans="39:49" ht="24" customHeight="1">
      <c r="AM2660" s="247"/>
      <c r="AN2660" s="247"/>
      <c r="AO2660" s="247"/>
      <c r="AP2660" s="247"/>
      <c r="AQ2660" s="247"/>
      <c r="AR2660" s="247"/>
      <c r="AS2660" s="247"/>
      <c r="AT2660" s="247"/>
      <c r="AU2660" s="247"/>
      <c r="AW2660" s="116" t="s">
        <v>523</v>
      </c>
    </row>
    <row r="2661" spans="39:49" ht="13.5" customHeight="1">
      <c r="AM2661" s="247"/>
      <c r="AN2661" s="247"/>
      <c r="AO2661" s="247"/>
      <c r="AP2661" s="247"/>
      <c r="AQ2661" s="247"/>
      <c r="AR2661" s="247"/>
      <c r="AS2661" s="247"/>
      <c r="AT2661" s="247"/>
      <c r="AU2661" s="247"/>
      <c r="AW2661" s="116" t="s">
        <v>523</v>
      </c>
    </row>
    <row r="2662" spans="39:49" ht="24" customHeight="1">
      <c r="AM2662" s="247"/>
      <c r="AN2662" s="247"/>
      <c r="AO2662" s="247"/>
      <c r="AP2662" s="247"/>
      <c r="AQ2662" s="247"/>
      <c r="AR2662" s="247"/>
      <c r="AS2662" s="247"/>
      <c r="AT2662" s="247"/>
      <c r="AU2662" s="247"/>
      <c r="AW2662" s="116" t="s">
        <v>523</v>
      </c>
    </row>
    <row r="2663" spans="39:49" ht="13.5" customHeight="1">
      <c r="AM2663" s="247"/>
      <c r="AN2663" s="247"/>
      <c r="AO2663" s="247"/>
      <c r="AP2663" s="247"/>
      <c r="AQ2663" s="247"/>
      <c r="AR2663" s="247"/>
      <c r="AS2663" s="247"/>
      <c r="AT2663" s="247"/>
      <c r="AU2663" s="247"/>
      <c r="AW2663" s="116" t="s">
        <v>523</v>
      </c>
    </row>
    <row r="2664" spans="39:49" ht="24" customHeight="1">
      <c r="AM2664" s="247"/>
      <c r="AN2664" s="247"/>
      <c r="AO2664" s="247"/>
      <c r="AP2664" s="247"/>
      <c r="AQ2664" s="247"/>
      <c r="AR2664" s="247"/>
      <c r="AS2664" s="247"/>
      <c r="AT2664" s="247"/>
      <c r="AU2664" s="247"/>
      <c r="AW2664" s="116" t="s">
        <v>523</v>
      </c>
    </row>
    <row r="2665" spans="39:49" ht="13.5" customHeight="1">
      <c r="AM2665" s="247"/>
      <c r="AN2665" s="247"/>
      <c r="AO2665" s="247"/>
      <c r="AP2665" s="247"/>
      <c r="AQ2665" s="247"/>
      <c r="AR2665" s="247"/>
      <c r="AS2665" s="247"/>
      <c r="AT2665" s="247"/>
      <c r="AU2665" s="247"/>
      <c r="AW2665" s="116" t="s">
        <v>523</v>
      </c>
    </row>
    <row r="2666" spans="39:49" ht="24" customHeight="1">
      <c r="AM2666" s="247"/>
      <c r="AN2666" s="247"/>
      <c r="AO2666" s="247"/>
      <c r="AP2666" s="247"/>
      <c r="AQ2666" s="247"/>
      <c r="AR2666" s="247"/>
      <c r="AS2666" s="247"/>
      <c r="AT2666" s="247"/>
      <c r="AU2666" s="247"/>
      <c r="AW2666" s="116" t="s">
        <v>523</v>
      </c>
    </row>
    <row r="2667" spans="39:49" ht="13.5" customHeight="1">
      <c r="AM2667" s="247"/>
      <c r="AN2667" s="247"/>
      <c r="AO2667" s="247"/>
      <c r="AP2667" s="247"/>
      <c r="AQ2667" s="247"/>
      <c r="AR2667" s="247"/>
      <c r="AS2667" s="247"/>
      <c r="AT2667" s="247"/>
      <c r="AU2667" s="247"/>
      <c r="AW2667" s="116" t="s">
        <v>523</v>
      </c>
    </row>
    <row r="2668" spans="39:49" ht="24" customHeight="1">
      <c r="AM2668" s="247"/>
      <c r="AN2668" s="247"/>
      <c r="AO2668" s="247"/>
      <c r="AP2668" s="247"/>
      <c r="AQ2668" s="247"/>
      <c r="AR2668" s="247"/>
      <c r="AS2668" s="247"/>
      <c r="AT2668" s="247"/>
      <c r="AU2668" s="247"/>
      <c r="AW2668" s="116" t="s">
        <v>523</v>
      </c>
    </row>
    <row r="2669" spans="39:49" ht="13.5" customHeight="1">
      <c r="AM2669" s="247"/>
      <c r="AN2669" s="247"/>
      <c r="AO2669" s="247"/>
      <c r="AP2669" s="247"/>
      <c r="AQ2669" s="247"/>
      <c r="AR2669" s="247"/>
      <c r="AS2669" s="247"/>
      <c r="AT2669" s="247"/>
      <c r="AU2669" s="247"/>
      <c r="AW2669" s="116" t="s">
        <v>523</v>
      </c>
    </row>
    <row r="2670" spans="39:49" ht="24" customHeight="1">
      <c r="AM2670" s="247"/>
      <c r="AN2670" s="247"/>
      <c r="AO2670" s="247"/>
      <c r="AP2670" s="247"/>
      <c r="AQ2670" s="247"/>
      <c r="AR2670" s="247"/>
      <c r="AS2670" s="247"/>
      <c r="AT2670" s="247"/>
      <c r="AU2670" s="247"/>
      <c r="AW2670" s="116" t="s">
        <v>523</v>
      </c>
    </row>
    <row r="2671" spans="39:49" ht="13.5" customHeight="1">
      <c r="AM2671" s="247"/>
      <c r="AN2671" s="247"/>
      <c r="AO2671" s="247"/>
      <c r="AP2671" s="247"/>
      <c r="AQ2671" s="247"/>
      <c r="AR2671" s="247"/>
      <c r="AS2671" s="247"/>
      <c r="AT2671" s="247"/>
      <c r="AU2671" s="247"/>
      <c r="AW2671" s="116" t="s">
        <v>523</v>
      </c>
    </row>
    <row r="2672" spans="39:49" ht="24" customHeight="1">
      <c r="AM2672" s="247"/>
      <c r="AN2672" s="247"/>
      <c r="AO2672" s="247"/>
      <c r="AP2672" s="247"/>
      <c r="AQ2672" s="247"/>
      <c r="AR2672" s="247"/>
      <c r="AS2672" s="247"/>
      <c r="AT2672" s="247"/>
      <c r="AU2672" s="247"/>
      <c r="AW2672" s="116" t="s">
        <v>523</v>
      </c>
    </row>
    <row r="2673" spans="39:49" ht="13.5" customHeight="1">
      <c r="AM2673" s="247"/>
      <c r="AN2673" s="247"/>
      <c r="AO2673" s="247"/>
      <c r="AP2673" s="247"/>
      <c r="AQ2673" s="247"/>
      <c r="AR2673" s="247"/>
      <c r="AS2673" s="247"/>
      <c r="AT2673" s="247"/>
      <c r="AU2673" s="247"/>
      <c r="AW2673" s="116" t="s">
        <v>523</v>
      </c>
    </row>
    <row r="2674" spans="39:49" ht="24" customHeight="1">
      <c r="AM2674" s="247"/>
      <c r="AN2674" s="247"/>
      <c r="AO2674" s="247"/>
      <c r="AP2674" s="247"/>
      <c r="AQ2674" s="247"/>
      <c r="AR2674" s="247"/>
      <c r="AS2674" s="247"/>
      <c r="AT2674" s="247"/>
      <c r="AU2674" s="247"/>
      <c r="AW2674" s="116" t="s">
        <v>523</v>
      </c>
    </row>
    <row r="2675" spans="39:49" ht="13.5" customHeight="1">
      <c r="AM2675" s="247"/>
      <c r="AN2675" s="247"/>
      <c r="AO2675" s="247"/>
      <c r="AP2675" s="247"/>
      <c r="AQ2675" s="247"/>
      <c r="AR2675" s="247"/>
      <c r="AS2675" s="247"/>
      <c r="AT2675" s="247"/>
      <c r="AU2675" s="247"/>
      <c r="AW2675" s="116" t="s">
        <v>523</v>
      </c>
    </row>
    <row r="2676" spans="39:49" ht="24" customHeight="1">
      <c r="AM2676" s="247"/>
      <c r="AN2676" s="247"/>
      <c r="AO2676" s="247"/>
      <c r="AP2676" s="247"/>
      <c r="AQ2676" s="247"/>
      <c r="AR2676" s="247"/>
      <c r="AS2676" s="247"/>
      <c r="AT2676" s="247"/>
      <c r="AU2676" s="247"/>
      <c r="AW2676" s="116" t="s">
        <v>523</v>
      </c>
    </row>
    <row r="2677" spans="39:49" ht="13.5" customHeight="1">
      <c r="AM2677" s="247"/>
      <c r="AN2677" s="247"/>
      <c r="AO2677" s="247"/>
      <c r="AP2677" s="247"/>
      <c r="AQ2677" s="247"/>
      <c r="AR2677" s="247"/>
      <c r="AS2677" s="247"/>
      <c r="AT2677" s="247"/>
      <c r="AU2677" s="247"/>
      <c r="AW2677" s="116" t="s">
        <v>523</v>
      </c>
    </row>
    <row r="2678" spans="39:49" ht="24" customHeight="1">
      <c r="AM2678" s="247"/>
      <c r="AN2678" s="247"/>
      <c r="AO2678" s="247"/>
      <c r="AP2678" s="247"/>
      <c r="AQ2678" s="247"/>
      <c r="AR2678" s="247"/>
      <c r="AS2678" s="247"/>
      <c r="AT2678" s="247"/>
      <c r="AU2678" s="247"/>
      <c r="AW2678" s="116" t="s">
        <v>523</v>
      </c>
    </row>
    <row r="2679" spans="39:49" ht="13.5" customHeight="1">
      <c r="AM2679" s="247"/>
      <c r="AN2679" s="247"/>
      <c r="AO2679" s="247"/>
      <c r="AP2679" s="247"/>
      <c r="AQ2679" s="247"/>
      <c r="AR2679" s="247"/>
      <c r="AS2679" s="247"/>
      <c r="AT2679" s="247"/>
      <c r="AU2679" s="247"/>
      <c r="AW2679" s="116" t="s">
        <v>523</v>
      </c>
    </row>
    <row r="2680" spans="39:49" ht="24" customHeight="1">
      <c r="AM2680" s="247"/>
      <c r="AN2680" s="247"/>
      <c r="AO2680" s="247"/>
      <c r="AP2680" s="247"/>
      <c r="AQ2680" s="247"/>
      <c r="AR2680" s="247"/>
      <c r="AS2680" s="247"/>
      <c r="AT2680" s="247"/>
      <c r="AU2680" s="247"/>
      <c r="AW2680" s="116" t="s">
        <v>523</v>
      </c>
    </row>
    <row r="2681" spans="39:49" ht="13.5" customHeight="1">
      <c r="AM2681" s="247"/>
      <c r="AN2681" s="247"/>
      <c r="AO2681" s="247"/>
      <c r="AP2681" s="247"/>
      <c r="AQ2681" s="247"/>
      <c r="AR2681" s="247"/>
      <c r="AS2681" s="247"/>
      <c r="AT2681" s="247"/>
      <c r="AU2681" s="247"/>
      <c r="AW2681" s="116" t="s">
        <v>523</v>
      </c>
    </row>
    <row r="2682" spans="39:49" ht="24" customHeight="1">
      <c r="AM2682" s="247"/>
      <c r="AN2682" s="247"/>
      <c r="AO2682" s="247"/>
      <c r="AP2682" s="247"/>
      <c r="AQ2682" s="247"/>
      <c r="AR2682" s="247"/>
      <c r="AS2682" s="247"/>
      <c r="AT2682" s="247"/>
      <c r="AU2682" s="247"/>
      <c r="AW2682" s="116" t="s">
        <v>523</v>
      </c>
    </row>
    <row r="2683" spans="39:49" ht="13.5" customHeight="1">
      <c r="AM2683" s="247"/>
      <c r="AN2683" s="247"/>
      <c r="AO2683" s="247"/>
      <c r="AP2683" s="247"/>
      <c r="AQ2683" s="247"/>
      <c r="AR2683" s="247"/>
      <c r="AS2683" s="247"/>
      <c r="AT2683" s="247"/>
      <c r="AU2683" s="247"/>
      <c r="AW2683" s="116" t="s">
        <v>523</v>
      </c>
    </row>
    <row r="2684" spans="39:49" ht="24" customHeight="1">
      <c r="AM2684" s="247"/>
      <c r="AN2684" s="247"/>
      <c r="AO2684" s="247"/>
      <c r="AP2684" s="247"/>
      <c r="AQ2684" s="247"/>
      <c r="AR2684" s="247"/>
      <c r="AS2684" s="247"/>
      <c r="AT2684" s="247"/>
      <c r="AU2684" s="247"/>
      <c r="AW2684" s="116" t="s">
        <v>523</v>
      </c>
    </row>
    <row r="2685" spans="39:49" ht="13.5" customHeight="1">
      <c r="AM2685" s="247"/>
      <c r="AN2685" s="247"/>
      <c r="AO2685" s="247"/>
      <c r="AP2685" s="247"/>
      <c r="AQ2685" s="247"/>
      <c r="AR2685" s="247"/>
      <c r="AS2685" s="247"/>
      <c r="AT2685" s="247"/>
      <c r="AU2685" s="247"/>
      <c r="AW2685" s="116" t="s">
        <v>523</v>
      </c>
    </row>
    <row r="2686" spans="39:49" ht="24" customHeight="1">
      <c r="AM2686" s="247"/>
      <c r="AN2686" s="247"/>
      <c r="AO2686" s="247"/>
      <c r="AP2686" s="247"/>
      <c r="AQ2686" s="247"/>
      <c r="AR2686" s="247"/>
      <c r="AS2686" s="247"/>
      <c r="AT2686" s="247"/>
      <c r="AU2686" s="247"/>
      <c r="AW2686" s="116" t="s">
        <v>523</v>
      </c>
    </row>
    <row r="2687" spans="39:49" ht="13.5" customHeight="1">
      <c r="AM2687" s="247"/>
      <c r="AN2687" s="247"/>
      <c r="AO2687" s="247"/>
      <c r="AP2687" s="247"/>
      <c r="AQ2687" s="247"/>
      <c r="AR2687" s="247"/>
      <c r="AS2687" s="247"/>
      <c r="AT2687" s="247"/>
      <c r="AU2687" s="247"/>
      <c r="AW2687" s="116" t="s">
        <v>523</v>
      </c>
    </row>
    <row r="2688" spans="39:49" ht="24" customHeight="1">
      <c r="AM2688" s="247"/>
      <c r="AN2688" s="247"/>
      <c r="AO2688" s="247"/>
      <c r="AP2688" s="247"/>
      <c r="AQ2688" s="247"/>
      <c r="AR2688" s="247"/>
      <c r="AS2688" s="247"/>
      <c r="AT2688" s="247"/>
      <c r="AU2688" s="247"/>
      <c r="AW2688" s="116" t="s">
        <v>523</v>
      </c>
    </row>
    <row r="2689" spans="16:49" ht="13.5" customHeight="1">
      <c r="AM2689" s="247"/>
      <c r="AN2689" s="247"/>
      <c r="AO2689" s="247"/>
      <c r="AP2689" s="247"/>
      <c r="AQ2689" s="247"/>
      <c r="AR2689" s="247"/>
      <c r="AS2689" s="247"/>
      <c r="AT2689" s="247"/>
      <c r="AU2689" s="247"/>
      <c r="AW2689" s="116" t="s">
        <v>523</v>
      </c>
    </row>
    <row r="2690" spans="16:49" ht="24" customHeight="1">
      <c r="AM2690" s="247"/>
      <c r="AN2690" s="247"/>
      <c r="AO2690" s="247"/>
      <c r="AP2690" s="247"/>
      <c r="AQ2690" s="247"/>
      <c r="AR2690" s="247"/>
      <c r="AS2690" s="247"/>
      <c r="AT2690" s="247"/>
      <c r="AU2690" s="247"/>
      <c r="AW2690" s="116" t="s">
        <v>523</v>
      </c>
    </row>
    <row r="2691" spans="16:49" ht="13.5" customHeight="1">
      <c r="AM2691" s="247"/>
      <c r="AN2691" s="247"/>
      <c r="AO2691" s="247"/>
      <c r="AP2691" s="247"/>
      <c r="AQ2691" s="247"/>
      <c r="AR2691" s="247"/>
      <c r="AS2691" s="247"/>
      <c r="AT2691" s="247"/>
      <c r="AU2691" s="247"/>
      <c r="AW2691" s="116" t="s">
        <v>523</v>
      </c>
    </row>
    <row r="2692" spans="16:49" ht="24" customHeight="1">
      <c r="AM2692" s="247"/>
      <c r="AN2692" s="247"/>
      <c r="AO2692" s="247"/>
      <c r="AP2692" s="247"/>
      <c r="AQ2692" s="247"/>
      <c r="AR2692" s="247"/>
      <c r="AS2692" s="247"/>
      <c r="AT2692" s="247"/>
      <c r="AU2692" s="247"/>
      <c r="AW2692" s="116" t="s">
        <v>523</v>
      </c>
    </row>
    <row r="2693" spans="16:49" ht="13.5" customHeight="1">
      <c r="AM2693" s="247"/>
      <c r="AN2693" s="247"/>
      <c r="AO2693" s="247"/>
      <c r="AP2693" s="247"/>
      <c r="AQ2693" s="247"/>
      <c r="AR2693" s="247"/>
      <c r="AS2693" s="247"/>
      <c r="AT2693" s="247"/>
      <c r="AU2693" s="247"/>
      <c r="AW2693" s="116" t="s">
        <v>523</v>
      </c>
    </row>
    <row r="2694" spans="16:49" ht="24" customHeight="1">
      <c r="P2694" s="220"/>
      <c r="AM2694" s="247"/>
      <c r="AN2694" s="247"/>
      <c r="AO2694" s="247"/>
      <c r="AP2694" s="247"/>
      <c r="AQ2694" s="247"/>
      <c r="AR2694" s="247"/>
      <c r="AS2694" s="247"/>
      <c r="AT2694" s="247"/>
      <c r="AU2694" s="247"/>
      <c r="AW2694" s="116" t="s">
        <v>523</v>
      </c>
    </row>
    <row r="2695" spans="16:49" ht="13.5" customHeight="1">
      <c r="AM2695" s="247"/>
      <c r="AN2695" s="247"/>
      <c r="AO2695" s="247"/>
      <c r="AP2695" s="247"/>
      <c r="AQ2695" s="247"/>
      <c r="AR2695" s="247"/>
      <c r="AS2695" s="247"/>
      <c r="AT2695" s="247"/>
      <c r="AU2695" s="247"/>
      <c r="AW2695" s="116" t="s">
        <v>523</v>
      </c>
    </row>
    <row r="2696" spans="16:49" ht="24" customHeight="1">
      <c r="AM2696" s="247"/>
      <c r="AN2696" s="247"/>
      <c r="AO2696" s="247"/>
      <c r="AP2696" s="247"/>
      <c r="AQ2696" s="247"/>
      <c r="AR2696" s="247"/>
      <c r="AS2696" s="247"/>
      <c r="AT2696" s="247"/>
      <c r="AU2696" s="247"/>
      <c r="AW2696" s="116" t="s">
        <v>523</v>
      </c>
    </row>
    <row r="2697" spans="16:49" ht="13.5" customHeight="1">
      <c r="AM2697" s="247"/>
      <c r="AN2697" s="247"/>
      <c r="AO2697" s="247"/>
      <c r="AP2697" s="247"/>
      <c r="AQ2697" s="247"/>
      <c r="AR2697" s="247"/>
      <c r="AS2697" s="247"/>
      <c r="AT2697" s="247"/>
      <c r="AU2697" s="247"/>
      <c r="AW2697" s="116" t="s">
        <v>523</v>
      </c>
    </row>
    <row r="2698" spans="16:49" ht="24" customHeight="1">
      <c r="AM2698" s="247"/>
      <c r="AN2698" s="247"/>
      <c r="AO2698" s="247"/>
      <c r="AP2698" s="247"/>
      <c r="AQ2698" s="247"/>
      <c r="AR2698" s="247"/>
      <c r="AS2698" s="247"/>
      <c r="AT2698" s="247"/>
      <c r="AU2698" s="247"/>
      <c r="AW2698" s="116" t="s">
        <v>523</v>
      </c>
    </row>
    <row r="2699" spans="16:49" ht="13.5" customHeight="1">
      <c r="AM2699" s="247"/>
      <c r="AN2699" s="247"/>
      <c r="AO2699" s="247"/>
      <c r="AP2699" s="247"/>
      <c r="AQ2699" s="247"/>
      <c r="AR2699" s="247"/>
      <c r="AS2699" s="247"/>
      <c r="AT2699" s="247"/>
      <c r="AU2699" s="247"/>
      <c r="AW2699" s="116" t="s">
        <v>523</v>
      </c>
    </row>
    <row r="2700" spans="16:49" ht="24" customHeight="1">
      <c r="AM2700" s="247"/>
      <c r="AN2700" s="247"/>
      <c r="AO2700" s="247"/>
      <c r="AP2700" s="247"/>
      <c r="AQ2700" s="247"/>
      <c r="AR2700" s="247"/>
      <c r="AS2700" s="247"/>
      <c r="AT2700" s="247"/>
      <c r="AU2700" s="247"/>
      <c r="AW2700" s="116" t="s">
        <v>523</v>
      </c>
    </row>
    <row r="2701" spans="16:49" ht="13.5" customHeight="1">
      <c r="AM2701" s="247"/>
      <c r="AN2701" s="247"/>
      <c r="AO2701" s="247"/>
      <c r="AP2701" s="247"/>
      <c r="AQ2701" s="247"/>
      <c r="AR2701" s="247"/>
      <c r="AS2701" s="247"/>
      <c r="AT2701" s="247"/>
      <c r="AU2701" s="247"/>
      <c r="AW2701" s="116" t="s">
        <v>523</v>
      </c>
    </row>
    <row r="2702" spans="16:49" ht="24" customHeight="1">
      <c r="AM2702" s="247"/>
      <c r="AN2702" s="247"/>
      <c r="AO2702" s="247"/>
      <c r="AP2702" s="247"/>
      <c r="AQ2702" s="247"/>
      <c r="AR2702" s="247"/>
      <c r="AS2702" s="247"/>
      <c r="AT2702" s="247"/>
      <c r="AU2702" s="247"/>
      <c r="AW2702" s="116" t="s">
        <v>523</v>
      </c>
    </row>
    <row r="2703" spans="16:49" ht="13.5" customHeight="1">
      <c r="AM2703" s="247"/>
      <c r="AN2703" s="247"/>
      <c r="AO2703" s="247"/>
      <c r="AP2703" s="247"/>
      <c r="AQ2703" s="247"/>
      <c r="AR2703" s="247"/>
      <c r="AS2703" s="247"/>
      <c r="AT2703" s="247"/>
      <c r="AU2703" s="247"/>
      <c r="AW2703" s="116" t="s">
        <v>523</v>
      </c>
    </row>
    <row r="2704" spans="16:49" ht="24" customHeight="1">
      <c r="AM2704" s="247"/>
      <c r="AN2704" s="247"/>
      <c r="AO2704" s="247"/>
      <c r="AP2704" s="247"/>
      <c r="AQ2704" s="247"/>
      <c r="AR2704" s="247"/>
      <c r="AS2704" s="247"/>
      <c r="AT2704" s="247"/>
      <c r="AU2704" s="247"/>
      <c r="AW2704" s="116" t="s">
        <v>523</v>
      </c>
    </row>
    <row r="2705" spans="39:49" ht="13.5" customHeight="1">
      <c r="AM2705" s="247"/>
      <c r="AN2705" s="247"/>
      <c r="AO2705" s="247"/>
      <c r="AP2705" s="247"/>
      <c r="AQ2705" s="247"/>
      <c r="AR2705" s="247"/>
      <c r="AS2705" s="247"/>
      <c r="AT2705" s="247"/>
      <c r="AU2705" s="247"/>
      <c r="AW2705" s="116" t="s">
        <v>523</v>
      </c>
    </row>
    <row r="2706" spans="39:49" ht="24" customHeight="1">
      <c r="AM2706" s="247"/>
      <c r="AN2706" s="247"/>
      <c r="AO2706" s="247"/>
      <c r="AP2706" s="247"/>
      <c r="AQ2706" s="247"/>
      <c r="AR2706" s="247"/>
      <c r="AS2706" s="247"/>
      <c r="AT2706" s="247"/>
      <c r="AU2706" s="247"/>
      <c r="AW2706" s="116" t="s">
        <v>523</v>
      </c>
    </row>
    <row r="2707" spans="39:49" ht="13.5" customHeight="1">
      <c r="AM2707" s="247"/>
      <c r="AN2707" s="247"/>
      <c r="AO2707" s="247"/>
      <c r="AP2707" s="247"/>
      <c r="AQ2707" s="247"/>
      <c r="AR2707" s="247"/>
      <c r="AS2707" s="247"/>
      <c r="AT2707" s="247"/>
      <c r="AU2707" s="247"/>
      <c r="AW2707" s="116" t="s">
        <v>523</v>
      </c>
    </row>
    <row r="2708" spans="39:49" ht="24" customHeight="1">
      <c r="AM2708" s="247"/>
      <c r="AN2708" s="247"/>
      <c r="AO2708" s="247"/>
      <c r="AP2708" s="247"/>
      <c r="AQ2708" s="247"/>
      <c r="AR2708" s="247"/>
      <c r="AS2708" s="247"/>
      <c r="AT2708" s="247"/>
      <c r="AU2708" s="247"/>
      <c r="AW2708" s="116" t="s">
        <v>523</v>
      </c>
    </row>
    <row r="2709" spans="39:49" ht="13.5" customHeight="1">
      <c r="AM2709" s="247"/>
      <c r="AN2709" s="247"/>
      <c r="AO2709" s="247"/>
      <c r="AP2709" s="247"/>
      <c r="AQ2709" s="247"/>
      <c r="AR2709" s="247"/>
      <c r="AS2709" s="247"/>
      <c r="AT2709" s="247"/>
      <c r="AU2709" s="247"/>
      <c r="AW2709" s="116" t="s">
        <v>523</v>
      </c>
    </row>
    <row r="2710" spans="39:49" ht="24" customHeight="1">
      <c r="AM2710" s="247"/>
      <c r="AN2710" s="247"/>
      <c r="AO2710" s="247"/>
      <c r="AP2710" s="247"/>
      <c r="AQ2710" s="247"/>
      <c r="AR2710" s="247"/>
      <c r="AS2710" s="247"/>
      <c r="AT2710" s="247"/>
      <c r="AU2710" s="247"/>
      <c r="AW2710" s="116" t="s">
        <v>523</v>
      </c>
    </row>
    <row r="2711" spans="39:49" ht="13.5" customHeight="1">
      <c r="AM2711" s="247"/>
      <c r="AN2711" s="247"/>
      <c r="AO2711" s="247"/>
      <c r="AP2711" s="247"/>
      <c r="AQ2711" s="247"/>
      <c r="AR2711" s="247"/>
      <c r="AS2711" s="247"/>
      <c r="AT2711" s="247"/>
      <c r="AU2711" s="247"/>
      <c r="AW2711" s="116" t="s">
        <v>523</v>
      </c>
    </row>
    <row r="2712" spans="39:49" ht="24" customHeight="1">
      <c r="AM2712" s="247"/>
      <c r="AN2712" s="247"/>
      <c r="AO2712" s="247"/>
      <c r="AP2712" s="247"/>
      <c r="AQ2712" s="247"/>
      <c r="AR2712" s="247"/>
      <c r="AS2712" s="247"/>
      <c r="AT2712" s="247"/>
      <c r="AU2712" s="247"/>
      <c r="AW2712" s="116" t="s">
        <v>523</v>
      </c>
    </row>
    <row r="2713" spans="39:49" ht="13.5" customHeight="1">
      <c r="AM2713" s="247"/>
      <c r="AN2713" s="247"/>
      <c r="AO2713" s="247"/>
      <c r="AP2713" s="247"/>
      <c r="AQ2713" s="247"/>
      <c r="AR2713" s="247"/>
      <c r="AS2713" s="247"/>
      <c r="AT2713" s="247"/>
      <c r="AU2713" s="247"/>
      <c r="AW2713" s="116" t="s">
        <v>523</v>
      </c>
    </row>
    <row r="2714" spans="39:49" ht="24" customHeight="1">
      <c r="AM2714" s="247"/>
      <c r="AN2714" s="247"/>
      <c r="AO2714" s="247"/>
      <c r="AP2714" s="247"/>
      <c r="AQ2714" s="247"/>
      <c r="AR2714" s="247"/>
      <c r="AS2714" s="247"/>
      <c r="AT2714" s="247"/>
      <c r="AU2714" s="247"/>
      <c r="AW2714" s="116" t="s">
        <v>523</v>
      </c>
    </row>
    <row r="2715" spans="39:49" ht="13.5" customHeight="1">
      <c r="AM2715" s="247"/>
      <c r="AN2715" s="247"/>
      <c r="AO2715" s="247"/>
      <c r="AP2715" s="247"/>
      <c r="AQ2715" s="247"/>
      <c r="AR2715" s="247"/>
      <c r="AS2715" s="247"/>
      <c r="AT2715" s="247"/>
      <c r="AU2715" s="247"/>
      <c r="AW2715" s="116" t="s">
        <v>523</v>
      </c>
    </row>
    <row r="2716" spans="39:49" ht="24" customHeight="1">
      <c r="AM2716" s="247"/>
      <c r="AN2716" s="247"/>
      <c r="AO2716" s="247"/>
      <c r="AP2716" s="247"/>
      <c r="AQ2716" s="247"/>
      <c r="AR2716" s="247"/>
      <c r="AS2716" s="247"/>
      <c r="AT2716" s="247"/>
      <c r="AU2716" s="247"/>
      <c r="AW2716" s="116" t="s">
        <v>523</v>
      </c>
    </row>
    <row r="2717" spans="39:49" ht="13.5" customHeight="1">
      <c r="AM2717" s="247"/>
      <c r="AN2717" s="247"/>
      <c r="AO2717" s="247"/>
      <c r="AP2717" s="247"/>
      <c r="AQ2717" s="247"/>
      <c r="AR2717" s="247"/>
      <c r="AS2717" s="247"/>
      <c r="AT2717" s="247"/>
      <c r="AU2717" s="247"/>
      <c r="AW2717" s="116" t="s">
        <v>523</v>
      </c>
    </row>
    <row r="2718" spans="39:49" ht="24" customHeight="1">
      <c r="AM2718" s="247"/>
      <c r="AN2718" s="247"/>
      <c r="AO2718" s="247"/>
      <c r="AP2718" s="247"/>
      <c r="AQ2718" s="247"/>
      <c r="AR2718" s="247"/>
      <c r="AS2718" s="247"/>
      <c r="AT2718" s="247"/>
      <c r="AU2718" s="247"/>
      <c r="AW2718" s="116" t="s">
        <v>523</v>
      </c>
    </row>
    <row r="2719" spans="39:49" ht="13.5" customHeight="1">
      <c r="AM2719" s="247"/>
      <c r="AN2719" s="247"/>
      <c r="AO2719" s="247"/>
      <c r="AP2719" s="247"/>
      <c r="AQ2719" s="247"/>
      <c r="AR2719" s="247"/>
      <c r="AS2719" s="247"/>
      <c r="AT2719" s="247"/>
      <c r="AU2719" s="247"/>
      <c r="AW2719" s="116" t="s">
        <v>523</v>
      </c>
    </row>
    <row r="2720" spans="39:49" ht="24" customHeight="1">
      <c r="AM2720" s="247"/>
      <c r="AN2720" s="247"/>
      <c r="AO2720" s="247"/>
      <c r="AP2720" s="247"/>
      <c r="AQ2720" s="247"/>
      <c r="AR2720" s="247"/>
      <c r="AS2720" s="247"/>
      <c r="AT2720" s="247"/>
      <c r="AU2720" s="247"/>
    </row>
    <row r="2721" spans="39:47" ht="13.5" customHeight="1">
      <c r="AM2721" s="247"/>
      <c r="AN2721" s="247"/>
      <c r="AO2721" s="247"/>
      <c r="AP2721" s="247"/>
      <c r="AQ2721" s="247"/>
      <c r="AR2721" s="247"/>
      <c r="AS2721" s="247"/>
      <c r="AT2721" s="247"/>
      <c r="AU2721" s="247"/>
    </row>
    <row r="2722" spans="39:47" ht="24" customHeight="1">
      <c r="AM2722" s="247"/>
      <c r="AN2722" s="247"/>
      <c r="AO2722" s="247"/>
      <c r="AP2722" s="247"/>
      <c r="AQ2722" s="247"/>
      <c r="AR2722" s="247"/>
      <c r="AS2722" s="247"/>
      <c r="AT2722" s="247"/>
      <c r="AU2722" s="247"/>
    </row>
    <row r="2723" spans="39:47" ht="13.5" customHeight="1">
      <c r="AM2723" s="247"/>
      <c r="AN2723" s="247"/>
      <c r="AO2723" s="247"/>
      <c r="AP2723" s="247"/>
      <c r="AQ2723" s="247"/>
      <c r="AR2723" s="247"/>
      <c r="AS2723" s="247"/>
      <c r="AT2723" s="247"/>
      <c r="AU2723" s="247"/>
    </row>
    <row r="2724" spans="39:47" ht="24" customHeight="1">
      <c r="AM2724" s="247"/>
      <c r="AN2724" s="247"/>
      <c r="AO2724" s="247"/>
      <c r="AP2724" s="247"/>
      <c r="AQ2724" s="247"/>
      <c r="AR2724" s="247"/>
      <c r="AS2724" s="247"/>
      <c r="AT2724" s="247"/>
      <c r="AU2724" s="247"/>
    </row>
    <row r="2725" spans="39:47" ht="13.5" customHeight="1">
      <c r="AM2725" s="247"/>
      <c r="AN2725" s="247"/>
      <c r="AO2725" s="247"/>
      <c r="AP2725" s="247"/>
      <c r="AQ2725" s="247"/>
      <c r="AR2725" s="247"/>
      <c r="AS2725" s="247"/>
      <c r="AT2725" s="247"/>
      <c r="AU2725" s="247"/>
    </row>
    <row r="2726" spans="39:47" ht="24" customHeight="1">
      <c r="AM2726" s="247"/>
      <c r="AN2726" s="247"/>
      <c r="AO2726" s="247"/>
      <c r="AP2726" s="247"/>
      <c r="AQ2726" s="247"/>
      <c r="AR2726" s="247"/>
      <c r="AS2726" s="247"/>
      <c r="AT2726" s="247"/>
      <c r="AU2726" s="247"/>
    </row>
    <row r="2727" spans="39:47" ht="13.5" customHeight="1">
      <c r="AM2727" s="247"/>
      <c r="AN2727" s="247"/>
      <c r="AO2727" s="247"/>
      <c r="AP2727" s="247"/>
      <c r="AQ2727" s="247"/>
      <c r="AR2727" s="247"/>
      <c r="AS2727" s="247"/>
      <c r="AT2727" s="247"/>
      <c r="AU2727" s="247"/>
    </row>
    <row r="2728" spans="39:47" ht="24" customHeight="1">
      <c r="AM2728" s="247"/>
      <c r="AN2728" s="247"/>
      <c r="AO2728" s="247"/>
      <c r="AP2728" s="247"/>
      <c r="AQ2728" s="247"/>
      <c r="AR2728" s="247"/>
      <c r="AS2728" s="247"/>
      <c r="AT2728" s="247"/>
      <c r="AU2728" s="247"/>
    </row>
    <row r="2729" spans="39:47" ht="13.5" customHeight="1">
      <c r="AM2729" s="247"/>
      <c r="AN2729" s="247"/>
      <c r="AO2729" s="247"/>
      <c r="AP2729" s="247"/>
      <c r="AQ2729" s="247"/>
      <c r="AR2729" s="247"/>
      <c r="AS2729" s="247"/>
      <c r="AT2729" s="247"/>
      <c r="AU2729" s="247"/>
    </row>
    <row r="2730" spans="39:47" ht="24" customHeight="1">
      <c r="AM2730" s="247"/>
      <c r="AN2730" s="247"/>
      <c r="AO2730" s="247"/>
      <c r="AP2730" s="247"/>
      <c r="AQ2730" s="247"/>
      <c r="AR2730" s="247"/>
      <c r="AS2730" s="247"/>
      <c r="AT2730" s="247"/>
      <c r="AU2730" s="247"/>
    </row>
    <row r="2731" spans="39:47" ht="13.5" customHeight="1">
      <c r="AM2731" s="247"/>
      <c r="AN2731" s="247"/>
      <c r="AO2731" s="247"/>
      <c r="AP2731" s="247"/>
      <c r="AQ2731" s="247"/>
      <c r="AR2731" s="247"/>
      <c r="AS2731" s="247"/>
      <c r="AT2731" s="247"/>
      <c r="AU2731" s="247"/>
    </row>
    <row r="2732" spans="39:47" ht="24" customHeight="1">
      <c r="AM2732" s="247"/>
      <c r="AN2732" s="247"/>
      <c r="AO2732" s="247"/>
      <c r="AP2732" s="247"/>
      <c r="AQ2732" s="247"/>
      <c r="AR2732" s="247"/>
      <c r="AS2732" s="247"/>
      <c r="AT2732" s="247"/>
      <c r="AU2732" s="247"/>
    </row>
    <row r="2733" spans="39:47" ht="13.5" customHeight="1">
      <c r="AM2733" s="247"/>
      <c r="AN2733" s="247"/>
      <c r="AO2733" s="247"/>
      <c r="AP2733" s="247"/>
      <c r="AQ2733" s="247"/>
      <c r="AR2733" s="247"/>
      <c r="AS2733" s="247"/>
      <c r="AT2733" s="247"/>
      <c r="AU2733" s="247"/>
    </row>
    <row r="2734" spans="39:47" ht="24" customHeight="1">
      <c r="AM2734" s="247"/>
      <c r="AN2734" s="247"/>
      <c r="AO2734" s="247"/>
      <c r="AP2734" s="247"/>
      <c r="AQ2734" s="247"/>
      <c r="AR2734" s="247"/>
      <c r="AS2734" s="247"/>
      <c r="AT2734" s="247"/>
      <c r="AU2734" s="247"/>
    </row>
    <row r="2735" spans="39:47" ht="13.5" customHeight="1">
      <c r="AM2735" s="247"/>
      <c r="AN2735" s="247"/>
      <c r="AO2735" s="247"/>
      <c r="AP2735" s="247"/>
      <c r="AQ2735" s="247"/>
      <c r="AR2735" s="247"/>
      <c r="AS2735" s="247"/>
      <c r="AT2735" s="247"/>
      <c r="AU2735" s="247"/>
    </row>
    <row r="2736" spans="39:47" ht="24" customHeight="1">
      <c r="AM2736" s="247"/>
      <c r="AN2736" s="247"/>
      <c r="AO2736" s="247"/>
      <c r="AP2736" s="247"/>
      <c r="AQ2736" s="247"/>
      <c r="AR2736" s="247"/>
      <c r="AS2736" s="247"/>
      <c r="AT2736" s="247"/>
      <c r="AU2736" s="247"/>
    </row>
    <row r="2737" spans="39:47" ht="13.5" customHeight="1">
      <c r="AM2737" s="247"/>
      <c r="AN2737" s="247"/>
      <c r="AO2737" s="247"/>
      <c r="AP2737" s="247"/>
      <c r="AQ2737" s="247"/>
      <c r="AR2737" s="247"/>
      <c r="AS2737" s="247"/>
      <c r="AT2737" s="247"/>
      <c r="AU2737" s="247"/>
    </row>
    <row r="2738" spans="39:47" ht="24" customHeight="1">
      <c r="AM2738" s="247"/>
      <c r="AN2738" s="247"/>
      <c r="AO2738" s="247"/>
      <c r="AP2738" s="247"/>
      <c r="AQ2738" s="247"/>
      <c r="AR2738" s="247"/>
      <c r="AS2738" s="247"/>
      <c r="AT2738" s="247"/>
      <c r="AU2738" s="247"/>
    </row>
    <row r="2739" spans="39:47" ht="13.5" customHeight="1">
      <c r="AM2739" s="247"/>
      <c r="AN2739" s="247"/>
      <c r="AO2739" s="247"/>
      <c r="AP2739" s="247"/>
      <c r="AQ2739" s="247"/>
      <c r="AR2739" s="247"/>
      <c r="AS2739" s="247"/>
      <c r="AT2739" s="247"/>
      <c r="AU2739" s="247"/>
    </row>
    <row r="2740" spans="39:47" ht="24" customHeight="1">
      <c r="AM2740" s="247"/>
      <c r="AN2740" s="247"/>
      <c r="AO2740" s="247"/>
      <c r="AP2740" s="247"/>
      <c r="AQ2740" s="247"/>
      <c r="AR2740" s="247"/>
      <c r="AS2740" s="247"/>
      <c r="AT2740" s="247"/>
      <c r="AU2740" s="247"/>
    </row>
    <row r="2741" spans="39:47" ht="13.5" customHeight="1">
      <c r="AM2741" s="247"/>
      <c r="AN2741" s="247"/>
      <c r="AO2741" s="247"/>
      <c r="AP2741" s="247"/>
      <c r="AQ2741" s="247"/>
      <c r="AR2741" s="247"/>
      <c r="AS2741" s="247"/>
      <c r="AT2741" s="247"/>
      <c r="AU2741" s="247"/>
    </row>
    <row r="2742" spans="39:47" ht="24" customHeight="1">
      <c r="AM2742" s="247"/>
      <c r="AN2742" s="247"/>
      <c r="AO2742" s="247"/>
      <c r="AP2742" s="247"/>
      <c r="AQ2742" s="247"/>
      <c r="AR2742" s="247"/>
      <c r="AS2742" s="247"/>
      <c r="AT2742" s="247"/>
      <c r="AU2742" s="247"/>
    </row>
    <row r="2743" spans="39:47" ht="13.5" customHeight="1">
      <c r="AM2743" s="247"/>
      <c r="AN2743" s="247"/>
      <c r="AO2743" s="247"/>
      <c r="AP2743" s="247"/>
      <c r="AQ2743" s="247"/>
      <c r="AR2743" s="247"/>
      <c r="AS2743" s="247"/>
      <c r="AT2743" s="247"/>
      <c r="AU2743" s="247"/>
    </row>
    <row r="2744" spans="39:47" ht="24" customHeight="1">
      <c r="AM2744" s="247"/>
      <c r="AN2744" s="247"/>
      <c r="AO2744" s="247"/>
      <c r="AP2744" s="247"/>
      <c r="AQ2744" s="247"/>
      <c r="AR2744" s="247"/>
      <c r="AS2744" s="247"/>
      <c r="AT2744" s="247"/>
      <c r="AU2744" s="247"/>
    </row>
    <row r="2745" spans="39:47" ht="13.5" customHeight="1">
      <c r="AM2745" s="247"/>
      <c r="AN2745" s="247"/>
      <c r="AO2745" s="247"/>
      <c r="AP2745" s="247"/>
      <c r="AQ2745" s="247"/>
      <c r="AR2745" s="247"/>
      <c r="AS2745" s="247"/>
      <c r="AT2745" s="247"/>
      <c r="AU2745" s="247"/>
    </row>
    <row r="2746" spans="39:47" ht="24" customHeight="1">
      <c r="AM2746" s="247"/>
      <c r="AN2746" s="247"/>
      <c r="AO2746" s="247"/>
      <c r="AP2746" s="247"/>
      <c r="AQ2746" s="247"/>
      <c r="AR2746" s="247"/>
      <c r="AS2746" s="247"/>
      <c r="AT2746" s="247"/>
      <c r="AU2746" s="247"/>
    </row>
    <row r="2747" spans="39:47" ht="13.5" customHeight="1">
      <c r="AM2747" s="247"/>
      <c r="AN2747" s="247"/>
      <c r="AO2747" s="247"/>
      <c r="AP2747" s="247"/>
      <c r="AQ2747" s="247"/>
      <c r="AR2747" s="247"/>
      <c r="AS2747" s="247"/>
      <c r="AT2747" s="247"/>
      <c r="AU2747" s="247"/>
    </row>
    <row r="2748" spans="39:47" ht="24" customHeight="1">
      <c r="AM2748" s="247"/>
      <c r="AN2748" s="247"/>
      <c r="AO2748" s="247"/>
      <c r="AP2748" s="247"/>
      <c r="AQ2748" s="247"/>
      <c r="AR2748" s="247"/>
      <c r="AS2748" s="247"/>
      <c r="AT2748" s="247"/>
      <c r="AU2748" s="247"/>
    </row>
    <row r="2749" spans="39:47" ht="13.5" customHeight="1">
      <c r="AM2749" s="247"/>
      <c r="AN2749" s="247"/>
      <c r="AO2749" s="247"/>
      <c r="AP2749" s="247"/>
      <c r="AQ2749" s="247"/>
      <c r="AR2749" s="247"/>
      <c r="AS2749" s="247"/>
      <c r="AT2749" s="247"/>
      <c r="AU2749" s="247"/>
    </row>
    <row r="2750" spans="39:47" ht="24" customHeight="1">
      <c r="AM2750" s="247"/>
      <c r="AN2750" s="247"/>
      <c r="AO2750" s="247"/>
      <c r="AP2750" s="247"/>
      <c r="AQ2750" s="247"/>
      <c r="AR2750" s="247"/>
      <c r="AS2750" s="247"/>
      <c r="AT2750" s="247"/>
      <c r="AU2750" s="247"/>
    </row>
    <row r="2751" spans="39:47" ht="13.5" customHeight="1">
      <c r="AM2751" s="247"/>
      <c r="AN2751" s="247"/>
      <c r="AO2751" s="247"/>
      <c r="AP2751" s="247"/>
      <c r="AQ2751" s="247"/>
      <c r="AR2751" s="247"/>
      <c r="AS2751" s="247"/>
      <c r="AT2751" s="247"/>
      <c r="AU2751" s="247"/>
    </row>
    <row r="2752" spans="39:47" ht="24" customHeight="1">
      <c r="AM2752" s="247"/>
      <c r="AN2752" s="247"/>
      <c r="AO2752" s="247"/>
      <c r="AP2752" s="247"/>
      <c r="AQ2752" s="247"/>
      <c r="AR2752" s="247"/>
      <c r="AS2752" s="247"/>
      <c r="AT2752" s="247"/>
      <c r="AU2752" s="247"/>
    </row>
    <row r="2753" spans="39:47" ht="13.5" customHeight="1">
      <c r="AM2753" s="247"/>
      <c r="AN2753" s="247"/>
      <c r="AO2753" s="247"/>
      <c r="AP2753" s="247"/>
      <c r="AQ2753" s="247"/>
      <c r="AR2753" s="247"/>
      <c r="AS2753" s="247"/>
      <c r="AT2753" s="247"/>
      <c r="AU2753" s="247"/>
    </row>
    <row r="2754" spans="39:47" ht="24" customHeight="1">
      <c r="AM2754" s="247"/>
      <c r="AN2754" s="247"/>
      <c r="AO2754" s="247"/>
      <c r="AP2754" s="247"/>
      <c r="AQ2754" s="247"/>
      <c r="AR2754" s="247"/>
      <c r="AS2754" s="247"/>
      <c r="AT2754" s="247"/>
      <c r="AU2754" s="247"/>
    </row>
    <row r="2755" spans="39:47" ht="13.5" customHeight="1">
      <c r="AM2755" s="247"/>
      <c r="AN2755" s="247"/>
      <c r="AO2755" s="247"/>
      <c r="AP2755" s="247"/>
      <c r="AQ2755" s="247"/>
      <c r="AR2755" s="247"/>
      <c r="AS2755" s="247"/>
      <c r="AT2755" s="247"/>
      <c r="AU2755" s="247"/>
    </row>
    <row r="2756" spans="39:47" ht="24" customHeight="1">
      <c r="AM2756" s="247"/>
      <c r="AN2756" s="247"/>
      <c r="AO2756" s="247"/>
      <c r="AP2756" s="247"/>
      <c r="AQ2756" s="247"/>
      <c r="AR2756" s="247"/>
      <c r="AS2756" s="247"/>
      <c r="AT2756" s="247"/>
      <c r="AU2756" s="247"/>
    </row>
    <row r="2757" spans="39:47" ht="13.5" customHeight="1">
      <c r="AM2757" s="247"/>
      <c r="AN2757" s="247"/>
      <c r="AO2757" s="247"/>
      <c r="AP2757" s="247"/>
      <c r="AQ2757" s="247"/>
      <c r="AR2757" s="247"/>
      <c r="AS2757" s="247"/>
      <c r="AT2757" s="247"/>
      <c r="AU2757" s="247"/>
    </row>
    <row r="2758" spans="39:47" ht="24" customHeight="1">
      <c r="AM2758" s="247"/>
      <c r="AN2758" s="247"/>
      <c r="AO2758" s="247"/>
      <c r="AP2758" s="247"/>
      <c r="AQ2758" s="247"/>
      <c r="AR2758" s="247"/>
      <c r="AS2758" s="247"/>
      <c r="AT2758" s="247"/>
      <c r="AU2758" s="247"/>
    </row>
    <row r="2759" spans="39:47" ht="13.5" customHeight="1">
      <c r="AM2759" s="247"/>
      <c r="AN2759" s="247"/>
      <c r="AO2759" s="247"/>
      <c r="AP2759" s="247"/>
      <c r="AQ2759" s="247"/>
      <c r="AR2759" s="247"/>
      <c r="AS2759" s="247"/>
      <c r="AT2759" s="247"/>
      <c r="AU2759" s="247"/>
    </row>
    <row r="2760" spans="39:47" ht="24" customHeight="1">
      <c r="AM2760" s="247"/>
      <c r="AN2760" s="247"/>
      <c r="AO2760" s="247"/>
      <c r="AP2760" s="247"/>
      <c r="AQ2760" s="247"/>
      <c r="AR2760" s="247"/>
      <c r="AS2760" s="247"/>
      <c r="AT2760" s="247"/>
      <c r="AU2760" s="247"/>
    </row>
    <row r="2761" spans="39:47" ht="13.5" customHeight="1">
      <c r="AM2761" s="247"/>
      <c r="AN2761" s="247"/>
      <c r="AO2761" s="247"/>
      <c r="AP2761" s="247"/>
      <c r="AQ2761" s="247"/>
      <c r="AR2761" s="247"/>
      <c r="AS2761" s="247"/>
      <c r="AT2761" s="247"/>
      <c r="AU2761" s="247"/>
    </row>
    <row r="2762" spans="39:47" ht="24" customHeight="1">
      <c r="AM2762" s="247"/>
      <c r="AN2762" s="247"/>
      <c r="AO2762" s="247"/>
      <c r="AP2762" s="247"/>
      <c r="AQ2762" s="247"/>
      <c r="AR2762" s="247"/>
      <c r="AS2762" s="247"/>
      <c r="AT2762" s="247"/>
      <c r="AU2762" s="247"/>
    </row>
    <row r="2763" spans="39:47" ht="13.5" customHeight="1">
      <c r="AM2763" s="247"/>
      <c r="AN2763" s="247"/>
      <c r="AO2763" s="247"/>
      <c r="AP2763" s="247"/>
      <c r="AQ2763" s="247"/>
      <c r="AR2763" s="247"/>
      <c r="AS2763" s="247"/>
      <c r="AT2763" s="247"/>
      <c r="AU2763" s="247"/>
    </row>
    <row r="2764" spans="39:47" ht="24" customHeight="1">
      <c r="AM2764" s="247"/>
      <c r="AN2764" s="247"/>
      <c r="AO2764" s="247"/>
      <c r="AP2764" s="247"/>
      <c r="AQ2764" s="247"/>
      <c r="AR2764" s="247"/>
      <c r="AS2764" s="247"/>
      <c r="AT2764" s="247"/>
      <c r="AU2764" s="247"/>
    </row>
    <row r="2765" spans="39:47" ht="13.5" customHeight="1">
      <c r="AM2765" s="247"/>
      <c r="AN2765" s="247"/>
      <c r="AO2765" s="247"/>
      <c r="AP2765" s="247"/>
      <c r="AQ2765" s="247"/>
      <c r="AR2765" s="247"/>
      <c r="AS2765" s="247"/>
      <c r="AT2765" s="247"/>
      <c r="AU2765" s="247"/>
    </row>
    <row r="2766" spans="39:47" ht="24" customHeight="1">
      <c r="AM2766" s="247"/>
      <c r="AN2766" s="247"/>
      <c r="AO2766" s="247"/>
      <c r="AP2766" s="247"/>
      <c r="AQ2766" s="247"/>
      <c r="AR2766" s="247"/>
      <c r="AS2766" s="247"/>
      <c r="AT2766" s="247"/>
      <c r="AU2766" s="247"/>
    </row>
    <row r="2767" spans="39:47" ht="13.5" customHeight="1">
      <c r="AM2767" s="247"/>
      <c r="AN2767" s="247"/>
      <c r="AO2767" s="247"/>
      <c r="AP2767" s="247"/>
      <c r="AQ2767" s="247"/>
      <c r="AR2767" s="247"/>
      <c r="AS2767" s="247"/>
      <c r="AT2767" s="247"/>
      <c r="AU2767" s="247"/>
    </row>
    <row r="2768" spans="39:47" ht="24" customHeight="1">
      <c r="AM2768" s="247"/>
      <c r="AN2768" s="247"/>
      <c r="AO2768" s="247"/>
      <c r="AP2768" s="247"/>
      <c r="AQ2768" s="247"/>
      <c r="AR2768" s="247"/>
      <c r="AS2768" s="247"/>
      <c r="AT2768" s="247"/>
      <c r="AU2768" s="247"/>
    </row>
    <row r="2769" spans="39:47" ht="13.5" customHeight="1">
      <c r="AM2769" s="247"/>
      <c r="AN2769" s="247"/>
      <c r="AO2769" s="247"/>
      <c r="AP2769" s="247"/>
      <c r="AQ2769" s="247"/>
      <c r="AR2769" s="247"/>
      <c r="AS2769" s="247"/>
      <c r="AT2769" s="247"/>
      <c r="AU2769" s="247"/>
    </row>
    <row r="2770" spans="39:47" ht="24" customHeight="1">
      <c r="AM2770" s="247"/>
      <c r="AN2770" s="247"/>
      <c r="AO2770" s="247"/>
      <c r="AP2770" s="247"/>
      <c r="AQ2770" s="247"/>
      <c r="AR2770" s="247"/>
      <c r="AS2770" s="247"/>
      <c r="AT2770" s="247"/>
      <c r="AU2770" s="247"/>
    </row>
    <row r="2771" spans="39:47" ht="13.5" customHeight="1">
      <c r="AM2771" s="247"/>
      <c r="AN2771" s="247"/>
      <c r="AO2771" s="247"/>
      <c r="AP2771" s="247"/>
      <c r="AQ2771" s="247"/>
      <c r="AR2771" s="247"/>
      <c r="AS2771" s="247"/>
      <c r="AT2771" s="247"/>
      <c r="AU2771" s="247"/>
    </row>
    <row r="2772" spans="39:47" ht="24" customHeight="1">
      <c r="AM2772" s="247"/>
      <c r="AN2772" s="247"/>
      <c r="AO2772" s="247"/>
      <c r="AP2772" s="247"/>
      <c r="AQ2772" s="247"/>
      <c r="AR2772" s="247"/>
      <c r="AS2772" s="247"/>
      <c r="AT2772" s="247"/>
      <c r="AU2772" s="247"/>
    </row>
    <row r="2773" spans="39:47" ht="13.5" customHeight="1">
      <c r="AM2773" s="247"/>
      <c r="AN2773" s="247"/>
      <c r="AO2773" s="247"/>
      <c r="AP2773" s="247"/>
      <c r="AQ2773" s="247"/>
      <c r="AR2773" s="247"/>
      <c r="AS2773" s="247"/>
      <c r="AT2773" s="247"/>
      <c r="AU2773" s="247"/>
    </row>
    <row r="2774" spans="39:47" ht="24" customHeight="1">
      <c r="AM2774" s="247"/>
      <c r="AN2774" s="247"/>
      <c r="AO2774" s="247"/>
      <c r="AP2774" s="247"/>
      <c r="AQ2774" s="247"/>
      <c r="AR2774" s="247"/>
      <c r="AS2774" s="247"/>
      <c r="AT2774" s="247"/>
      <c r="AU2774" s="247"/>
    </row>
    <row r="2775" spans="39:47" ht="13.5" customHeight="1">
      <c r="AM2775" s="247"/>
      <c r="AN2775" s="247"/>
      <c r="AO2775" s="247"/>
      <c r="AP2775" s="247"/>
      <c r="AQ2775" s="247"/>
      <c r="AR2775" s="247"/>
      <c r="AS2775" s="247"/>
      <c r="AT2775" s="247"/>
      <c r="AU2775" s="247"/>
    </row>
    <row r="2776" spans="39:47" ht="24" customHeight="1">
      <c r="AM2776" s="247"/>
      <c r="AN2776" s="247"/>
      <c r="AO2776" s="247"/>
      <c r="AP2776" s="247"/>
      <c r="AQ2776" s="247"/>
      <c r="AR2776" s="247"/>
      <c r="AS2776" s="247"/>
      <c r="AT2776" s="247"/>
      <c r="AU2776" s="247"/>
    </row>
    <row r="2777" spans="39:47" ht="13.5" customHeight="1">
      <c r="AM2777" s="247"/>
      <c r="AN2777" s="247"/>
      <c r="AO2777" s="247"/>
      <c r="AP2777" s="247"/>
      <c r="AQ2777" s="247"/>
      <c r="AR2777" s="247"/>
      <c r="AS2777" s="247"/>
      <c r="AT2777" s="247"/>
      <c r="AU2777" s="247"/>
    </row>
    <row r="2778" spans="39:47" ht="24" customHeight="1">
      <c r="AM2778" s="247"/>
      <c r="AN2778" s="247"/>
      <c r="AO2778" s="247"/>
      <c r="AP2778" s="247"/>
      <c r="AQ2778" s="247"/>
      <c r="AR2778" s="247"/>
      <c r="AS2778" s="247"/>
      <c r="AT2778" s="247"/>
      <c r="AU2778" s="247"/>
    </row>
    <row r="2779" spans="39:47" ht="13.5" customHeight="1">
      <c r="AM2779" s="247"/>
      <c r="AN2779" s="247"/>
      <c r="AO2779" s="247"/>
      <c r="AP2779" s="247"/>
      <c r="AQ2779" s="247"/>
      <c r="AR2779" s="247"/>
      <c r="AS2779" s="247"/>
      <c r="AT2779" s="247"/>
      <c r="AU2779" s="247"/>
    </row>
    <row r="2780" spans="39:47" ht="24" customHeight="1">
      <c r="AM2780" s="247"/>
      <c r="AN2780" s="247"/>
      <c r="AO2780" s="247"/>
      <c r="AP2780" s="247"/>
      <c r="AQ2780" s="247"/>
      <c r="AR2780" s="247"/>
      <c r="AS2780" s="247"/>
      <c r="AT2780" s="247"/>
      <c r="AU2780" s="247"/>
    </row>
    <row r="2781" spans="39:47" ht="13.5" customHeight="1">
      <c r="AM2781" s="247"/>
      <c r="AN2781" s="247"/>
      <c r="AO2781" s="247"/>
      <c r="AP2781" s="247"/>
      <c r="AQ2781" s="247"/>
      <c r="AR2781" s="247"/>
      <c r="AS2781" s="247"/>
      <c r="AT2781" s="247"/>
      <c r="AU2781" s="247"/>
    </row>
    <row r="2782" spans="39:47" ht="24" customHeight="1">
      <c r="AM2782" s="247"/>
      <c r="AN2782" s="247"/>
      <c r="AO2782" s="247"/>
      <c r="AP2782" s="247"/>
      <c r="AQ2782" s="247"/>
      <c r="AR2782" s="247"/>
      <c r="AS2782" s="247"/>
      <c r="AT2782" s="247"/>
      <c r="AU2782" s="247"/>
    </row>
    <row r="2783" spans="39:47" ht="13.5" customHeight="1">
      <c r="AM2783" s="247"/>
      <c r="AN2783" s="247"/>
      <c r="AO2783" s="247"/>
      <c r="AP2783" s="247"/>
      <c r="AQ2783" s="247"/>
      <c r="AR2783" s="247"/>
      <c r="AS2783" s="247"/>
      <c r="AT2783" s="247"/>
      <c r="AU2783" s="247"/>
    </row>
    <row r="2784" spans="39:47" ht="24" customHeight="1">
      <c r="AM2784" s="247"/>
      <c r="AN2784" s="247"/>
      <c r="AO2784" s="247"/>
      <c r="AP2784" s="247"/>
      <c r="AQ2784" s="247"/>
      <c r="AR2784" s="247"/>
      <c r="AS2784" s="247"/>
      <c r="AT2784" s="247"/>
      <c r="AU2784" s="247"/>
    </row>
    <row r="2785" spans="39:47" ht="13.5" customHeight="1">
      <c r="AM2785" s="247"/>
      <c r="AN2785" s="247"/>
      <c r="AO2785" s="247"/>
      <c r="AP2785" s="247"/>
      <c r="AQ2785" s="247"/>
      <c r="AR2785" s="247"/>
      <c r="AS2785" s="247"/>
      <c r="AT2785" s="247"/>
      <c r="AU2785" s="247"/>
    </row>
    <row r="2786" spans="39:47" ht="24" customHeight="1">
      <c r="AM2786" s="247"/>
      <c r="AN2786" s="247"/>
      <c r="AO2786" s="247"/>
      <c r="AP2786" s="247"/>
      <c r="AQ2786" s="247"/>
      <c r="AR2786" s="247"/>
      <c r="AS2786" s="247"/>
      <c r="AT2786" s="247"/>
      <c r="AU2786" s="247"/>
    </row>
    <row r="2787" spans="39:47" ht="13.5" customHeight="1">
      <c r="AM2787" s="247"/>
      <c r="AN2787" s="247"/>
      <c r="AO2787" s="247"/>
      <c r="AP2787" s="247"/>
      <c r="AQ2787" s="247"/>
      <c r="AR2787" s="247"/>
      <c r="AS2787" s="247"/>
      <c r="AT2787" s="247"/>
      <c r="AU2787" s="247"/>
    </row>
    <row r="2788" spans="39:47" ht="24" customHeight="1">
      <c r="AM2788" s="247"/>
      <c r="AN2788" s="247"/>
      <c r="AO2788" s="247"/>
      <c r="AP2788" s="247"/>
      <c r="AQ2788" s="247"/>
      <c r="AR2788" s="247"/>
      <c r="AS2788" s="247"/>
      <c r="AT2788" s="247"/>
      <c r="AU2788" s="247"/>
    </row>
    <row r="2789" spans="39:47" ht="13.5" customHeight="1">
      <c r="AM2789" s="247"/>
      <c r="AN2789" s="247"/>
      <c r="AO2789" s="247"/>
      <c r="AP2789" s="247"/>
      <c r="AQ2789" s="247"/>
      <c r="AR2789" s="247"/>
      <c r="AS2789" s="247"/>
      <c r="AT2789" s="247"/>
      <c r="AU2789" s="247"/>
    </row>
    <row r="2790" spans="39:47" ht="24" customHeight="1">
      <c r="AM2790" s="247"/>
      <c r="AN2790" s="247"/>
      <c r="AO2790" s="247"/>
      <c r="AP2790" s="247"/>
      <c r="AQ2790" s="247"/>
      <c r="AR2790" s="247"/>
      <c r="AS2790" s="247"/>
      <c r="AT2790" s="247"/>
      <c r="AU2790" s="247"/>
    </row>
    <row r="2791" spans="39:47" ht="13.5" customHeight="1">
      <c r="AM2791" s="247"/>
      <c r="AN2791" s="247"/>
      <c r="AO2791" s="247"/>
      <c r="AP2791" s="247"/>
      <c r="AQ2791" s="247"/>
      <c r="AR2791" s="247"/>
      <c r="AS2791" s="247"/>
      <c r="AT2791" s="247"/>
      <c r="AU2791" s="247"/>
    </row>
    <row r="2792" spans="39:47" ht="24" customHeight="1">
      <c r="AM2792" s="247"/>
      <c r="AN2792" s="247"/>
      <c r="AO2792" s="247"/>
      <c r="AP2792" s="247"/>
      <c r="AQ2792" s="247"/>
      <c r="AR2792" s="247"/>
      <c r="AS2792" s="247"/>
      <c r="AT2792" s="247"/>
      <c r="AU2792" s="247"/>
    </row>
    <row r="2793" spans="39:47" ht="13.5" customHeight="1">
      <c r="AM2793" s="247"/>
      <c r="AN2793" s="247"/>
      <c r="AO2793" s="247"/>
      <c r="AP2793" s="247"/>
      <c r="AQ2793" s="247"/>
      <c r="AR2793" s="247"/>
      <c r="AS2793" s="247"/>
      <c r="AT2793" s="247"/>
      <c r="AU2793" s="247"/>
    </row>
    <row r="2794" spans="39:47" ht="24" customHeight="1">
      <c r="AM2794" s="247"/>
      <c r="AN2794" s="247"/>
      <c r="AO2794" s="247"/>
      <c r="AP2794" s="247"/>
      <c r="AQ2794" s="247"/>
      <c r="AR2794" s="247"/>
      <c r="AS2794" s="247"/>
      <c r="AT2794" s="247"/>
      <c r="AU2794" s="247"/>
    </row>
    <row r="2795" spans="39:47" ht="13.5" customHeight="1">
      <c r="AM2795" s="247"/>
      <c r="AN2795" s="247"/>
      <c r="AO2795" s="247"/>
      <c r="AP2795" s="247"/>
      <c r="AQ2795" s="247"/>
      <c r="AR2795" s="247"/>
      <c r="AS2795" s="247"/>
      <c r="AT2795" s="247"/>
      <c r="AU2795" s="247"/>
    </row>
    <row r="2796" spans="39:47" ht="24" customHeight="1">
      <c r="AM2796" s="247"/>
      <c r="AN2796" s="247"/>
      <c r="AO2796" s="247"/>
      <c r="AP2796" s="247"/>
      <c r="AQ2796" s="247"/>
      <c r="AR2796" s="247"/>
      <c r="AS2796" s="247"/>
      <c r="AT2796" s="247"/>
      <c r="AU2796" s="247"/>
    </row>
    <row r="2797" spans="39:47" ht="13.5" customHeight="1">
      <c r="AM2797" s="247"/>
      <c r="AN2797" s="247"/>
      <c r="AO2797" s="247"/>
      <c r="AP2797" s="247"/>
      <c r="AQ2797" s="247"/>
      <c r="AR2797" s="247"/>
      <c r="AS2797" s="247"/>
      <c r="AT2797" s="247"/>
      <c r="AU2797" s="247"/>
    </row>
    <row r="2798" spans="39:47" ht="24" customHeight="1">
      <c r="AM2798" s="247"/>
      <c r="AN2798" s="247"/>
      <c r="AO2798" s="247"/>
      <c r="AP2798" s="247"/>
      <c r="AQ2798" s="247"/>
      <c r="AR2798" s="247"/>
      <c r="AS2798" s="247"/>
      <c r="AT2798" s="247"/>
      <c r="AU2798" s="247"/>
    </row>
    <row r="2799" spans="39:47" ht="13.5" customHeight="1">
      <c r="AM2799" s="247"/>
      <c r="AN2799" s="247"/>
      <c r="AO2799" s="247"/>
      <c r="AP2799" s="247"/>
      <c r="AQ2799" s="247"/>
      <c r="AR2799" s="247"/>
      <c r="AS2799" s="247"/>
      <c r="AT2799" s="247"/>
      <c r="AU2799" s="247"/>
    </row>
    <row r="2800" spans="39:47" ht="24" customHeight="1">
      <c r="AM2800" s="247"/>
      <c r="AN2800" s="247"/>
      <c r="AO2800" s="247"/>
      <c r="AP2800" s="247"/>
      <c r="AQ2800" s="247"/>
      <c r="AR2800" s="247"/>
      <c r="AS2800" s="247"/>
      <c r="AT2800" s="247"/>
      <c r="AU2800" s="247"/>
    </row>
    <row r="2801" spans="39:47" ht="13.5" customHeight="1">
      <c r="AM2801" s="247"/>
      <c r="AN2801" s="247"/>
      <c r="AO2801" s="247"/>
      <c r="AP2801" s="247"/>
      <c r="AQ2801" s="247"/>
      <c r="AR2801" s="247"/>
      <c r="AS2801" s="247"/>
      <c r="AT2801" s="247"/>
      <c r="AU2801" s="247"/>
    </row>
    <row r="2802" spans="39:47" ht="24" customHeight="1">
      <c r="AM2802" s="247"/>
      <c r="AN2802" s="247"/>
      <c r="AO2802" s="247"/>
      <c r="AP2802" s="247"/>
      <c r="AQ2802" s="247"/>
      <c r="AR2802" s="247"/>
      <c r="AS2802" s="247"/>
      <c r="AT2802" s="247"/>
      <c r="AU2802" s="247"/>
    </row>
    <row r="2803" spans="39:47" ht="13.5" customHeight="1">
      <c r="AM2803" s="247"/>
      <c r="AN2803" s="247"/>
      <c r="AO2803" s="247"/>
      <c r="AP2803" s="247"/>
      <c r="AQ2803" s="247"/>
      <c r="AR2803" s="247"/>
      <c r="AS2803" s="247"/>
      <c r="AT2803" s="247"/>
      <c r="AU2803" s="247"/>
    </row>
    <row r="2804" spans="39:47" ht="24" customHeight="1">
      <c r="AM2804" s="247"/>
      <c r="AN2804" s="247"/>
      <c r="AO2804" s="247"/>
      <c r="AP2804" s="247"/>
      <c r="AQ2804" s="247"/>
      <c r="AR2804" s="247"/>
      <c r="AS2804" s="247"/>
      <c r="AT2804" s="247"/>
      <c r="AU2804" s="247"/>
    </row>
    <row r="2805" spans="39:47" ht="13.5" customHeight="1">
      <c r="AM2805" s="247"/>
      <c r="AN2805" s="247"/>
      <c r="AO2805" s="247"/>
      <c r="AP2805" s="247"/>
      <c r="AQ2805" s="247"/>
      <c r="AR2805" s="247"/>
      <c r="AS2805" s="247"/>
      <c r="AT2805" s="247"/>
      <c r="AU2805" s="247"/>
    </row>
    <row r="2806" spans="39:47" ht="24" customHeight="1">
      <c r="AM2806" s="247"/>
      <c r="AN2806" s="247"/>
      <c r="AO2806" s="247"/>
      <c r="AP2806" s="247"/>
      <c r="AQ2806" s="247"/>
      <c r="AR2806" s="247"/>
      <c r="AS2806" s="247"/>
      <c r="AT2806" s="247"/>
      <c r="AU2806" s="247"/>
    </row>
    <row r="2807" spans="39:47" ht="13.5" customHeight="1">
      <c r="AM2807" s="247"/>
      <c r="AN2807" s="247"/>
      <c r="AO2807" s="247"/>
      <c r="AP2807" s="247"/>
      <c r="AQ2807" s="247"/>
      <c r="AR2807" s="247"/>
      <c r="AS2807" s="247"/>
      <c r="AT2807" s="247"/>
      <c r="AU2807" s="247"/>
    </row>
    <row r="2808" spans="39:47" ht="24" customHeight="1">
      <c r="AM2808" s="247"/>
      <c r="AN2808" s="247"/>
      <c r="AO2808" s="247"/>
      <c r="AP2808" s="247"/>
      <c r="AQ2808" s="247"/>
      <c r="AR2808" s="247"/>
      <c r="AS2808" s="247"/>
      <c r="AT2808" s="247"/>
      <c r="AU2808" s="247"/>
    </row>
    <row r="2809" spans="39:47" ht="13.5" customHeight="1">
      <c r="AM2809" s="247"/>
      <c r="AN2809" s="247"/>
      <c r="AO2809" s="247"/>
      <c r="AP2809" s="247"/>
      <c r="AQ2809" s="247"/>
      <c r="AR2809" s="247"/>
      <c r="AS2809" s="247"/>
      <c r="AT2809" s="247"/>
      <c r="AU2809" s="247"/>
    </row>
    <row r="2810" spans="39:47" ht="24" customHeight="1">
      <c r="AM2810" s="247"/>
      <c r="AN2810" s="247"/>
      <c r="AO2810" s="247"/>
      <c r="AP2810" s="247"/>
      <c r="AQ2810" s="247"/>
      <c r="AR2810" s="247"/>
      <c r="AS2810" s="247"/>
      <c r="AT2810" s="247"/>
      <c r="AU2810" s="247"/>
    </row>
    <row r="2811" spans="39:47" ht="13.5" customHeight="1">
      <c r="AM2811" s="247"/>
      <c r="AN2811" s="247"/>
      <c r="AO2811" s="247"/>
      <c r="AP2811" s="247"/>
      <c r="AQ2811" s="247"/>
      <c r="AR2811" s="247"/>
      <c r="AS2811" s="247"/>
      <c r="AT2811" s="247"/>
      <c r="AU2811" s="247"/>
    </row>
    <row r="2812" spans="39:47" ht="24" customHeight="1">
      <c r="AM2812" s="247"/>
      <c r="AN2812" s="247"/>
      <c r="AO2812" s="247"/>
      <c r="AP2812" s="247"/>
      <c r="AQ2812" s="247"/>
      <c r="AR2812" s="247"/>
      <c r="AS2812" s="247"/>
      <c r="AT2812" s="247"/>
      <c r="AU2812" s="247"/>
    </row>
    <row r="2813" spans="39:47" ht="13.5" customHeight="1">
      <c r="AM2813" s="247"/>
      <c r="AN2813" s="247"/>
      <c r="AO2813" s="247"/>
      <c r="AP2813" s="247"/>
      <c r="AQ2813" s="247"/>
      <c r="AR2813" s="247"/>
      <c r="AS2813" s="247"/>
      <c r="AT2813" s="247"/>
      <c r="AU2813" s="247"/>
    </row>
    <row r="2814" spans="39:47" ht="24" customHeight="1">
      <c r="AM2814" s="247"/>
      <c r="AN2814" s="247"/>
      <c r="AO2814" s="247"/>
      <c r="AP2814" s="247"/>
      <c r="AQ2814" s="247"/>
      <c r="AR2814" s="247"/>
      <c r="AS2814" s="247"/>
      <c r="AT2814" s="247"/>
      <c r="AU2814" s="247"/>
    </row>
    <row r="2815" spans="39:47" ht="13.5" customHeight="1">
      <c r="AM2815" s="247"/>
      <c r="AN2815" s="247"/>
      <c r="AO2815" s="247"/>
      <c r="AP2815" s="247"/>
      <c r="AQ2815" s="247"/>
      <c r="AR2815" s="247"/>
      <c r="AS2815" s="247"/>
      <c r="AT2815" s="247"/>
      <c r="AU2815" s="247"/>
    </row>
    <row r="2816" spans="39:47" ht="24" customHeight="1">
      <c r="AM2816" s="247"/>
      <c r="AN2816" s="247"/>
      <c r="AO2816" s="247"/>
      <c r="AP2816" s="247"/>
      <c r="AQ2816" s="247"/>
      <c r="AR2816" s="247"/>
      <c r="AS2816" s="247"/>
      <c r="AT2816" s="247"/>
      <c r="AU2816" s="247"/>
    </row>
    <row r="2817" spans="39:47" ht="13.5" customHeight="1">
      <c r="AM2817" s="247"/>
      <c r="AN2817" s="247"/>
      <c r="AO2817" s="247"/>
      <c r="AP2817" s="247"/>
      <c r="AQ2817" s="247"/>
      <c r="AR2817" s="247"/>
      <c r="AS2817" s="247"/>
      <c r="AT2817" s="247"/>
      <c r="AU2817" s="247"/>
    </row>
    <row r="2818" spans="39:47" ht="24" customHeight="1">
      <c r="AM2818" s="247"/>
      <c r="AN2818" s="247"/>
      <c r="AO2818" s="247"/>
      <c r="AP2818" s="247"/>
      <c r="AQ2818" s="247"/>
      <c r="AR2818" s="247"/>
      <c r="AS2818" s="247"/>
      <c r="AT2818" s="247"/>
      <c r="AU2818" s="247"/>
    </row>
    <row r="2819" spans="39:47" ht="13.5" customHeight="1">
      <c r="AM2819" s="247"/>
      <c r="AN2819" s="247"/>
      <c r="AO2819" s="247"/>
      <c r="AP2819" s="247"/>
      <c r="AQ2819" s="247"/>
      <c r="AR2819" s="247"/>
      <c r="AS2819" s="247"/>
      <c r="AT2819" s="247"/>
      <c r="AU2819" s="247"/>
    </row>
    <row r="2820" spans="39:47" ht="24" customHeight="1">
      <c r="AM2820" s="247"/>
      <c r="AN2820" s="247"/>
      <c r="AO2820" s="247"/>
      <c r="AP2820" s="247"/>
      <c r="AQ2820" s="247"/>
      <c r="AR2820" s="247"/>
      <c r="AS2820" s="247"/>
      <c r="AT2820" s="247"/>
      <c r="AU2820" s="247"/>
    </row>
    <row r="2821" spans="39:47" ht="13.5" customHeight="1">
      <c r="AM2821" s="247"/>
      <c r="AN2821" s="247"/>
      <c r="AO2821" s="247"/>
      <c r="AP2821" s="247"/>
      <c r="AQ2821" s="247"/>
      <c r="AR2821" s="247"/>
      <c r="AS2821" s="247"/>
      <c r="AT2821" s="247"/>
      <c r="AU2821" s="247"/>
    </row>
    <row r="2822" spans="39:47" ht="24" customHeight="1">
      <c r="AM2822" s="247"/>
      <c r="AN2822" s="247"/>
      <c r="AO2822" s="247"/>
      <c r="AP2822" s="247"/>
      <c r="AQ2822" s="247"/>
      <c r="AR2822" s="247"/>
      <c r="AS2822" s="247"/>
      <c r="AT2822" s="247"/>
      <c r="AU2822" s="247"/>
    </row>
    <row r="2823" spans="39:47" ht="13.5" customHeight="1">
      <c r="AM2823" s="247"/>
      <c r="AN2823" s="247"/>
      <c r="AO2823" s="247"/>
      <c r="AP2823" s="247"/>
      <c r="AQ2823" s="247"/>
      <c r="AR2823" s="247"/>
      <c r="AS2823" s="247"/>
      <c r="AT2823" s="247"/>
      <c r="AU2823" s="247"/>
    </row>
    <row r="2824" spans="39:47" ht="24" customHeight="1">
      <c r="AM2824" s="247"/>
      <c r="AN2824" s="247"/>
      <c r="AO2824" s="247"/>
      <c r="AP2824" s="247"/>
      <c r="AQ2824" s="247"/>
      <c r="AR2824" s="247"/>
      <c r="AS2824" s="247"/>
      <c r="AT2824" s="247"/>
      <c r="AU2824" s="247"/>
    </row>
    <row r="2825" spans="39:47" ht="13.5" customHeight="1">
      <c r="AM2825" s="247"/>
      <c r="AN2825" s="247"/>
      <c r="AO2825" s="247"/>
      <c r="AP2825" s="247"/>
      <c r="AQ2825" s="247"/>
      <c r="AR2825" s="247"/>
      <c r="AS2825" s="247"/>
      <c r="AT2825" s="247"/>
      <c r="AU2825" s="247"/>
    </row>
    <row r="2826" spans="39:47" ht="24" customHeight="1">
      <c r="AM2826" s="247"/>
      <c r="AN2826" s="247"/>
      <c r="AO2826" s="247"/>
      <c r="AP2826" s="247"/>
      <c r="AQ2826" s="247"/>
      <c r="AR2826" s="247"/>
      <c r="AS2826" s="247"/>
      <c r="AT2826" s="247"/>
      <c r="AU2826" s="247"/>
    </row>
    <row r="2827" spans="39:47" ht="13.5" customHeight="1">
      <c r="AM2827" s="247"/>
      <c r="AN2827" s="247"/>
      <c r="AO2827" s="247"/>
      <c r="AP2827" s="247"/>
      <c r="AQ2827" s="247"/>
      <c r="AR2827" s="247"/>
      <c r="AS2827" s="247"/>
      <c r="AT2827" s="247"/>
      <c r="AU2827" s="247"/>
    </row>
    <row r="2828" spans="39:47" ht="24" customHeight="1">
      <c r="AM2828" s="247"/>
      <c r="AN2828" s="247"/>
      <c r="AO2828" s="247"/>
      <c r="AP2828" s="247"/>
      <c r="AQ2828" s="247"/>
      <c r="AR2828" s="247"/>
      <c r="AS2828" s="247"/>
      <c r="AT2828" s="247"/>
      <c r="AU2828" s="247"/>
    </row>
    <row r="2829" spans="39:47" ht="13.5" customHeight="1">
      <c r="AM2829" s="247"/>
      <c r="AN2829" s="247"/>
      <c r="AO2829" s="247"/>
      <c r="AP2829" s="247"/>
      <c r="AQ2829" s="247"/>
      <c r="AR2829" s="247"/>
      <c r="AS2829" s="247"/>
      <c r="AT2829" s="247"/>
      <c r="AU2829" s="247"/>
    </row>
    <row r="2830" spans="39:47" ht="24" customHeight="1">
      <c r="AM2830" s="247"/>
      <c r="AN2830" s="247"/>
      <c r="AO2830" s="247"/>
      <c r="AP2830" s="247"/>
      <c r="AQ2830" s="247"/>
      <c r="AR2830" s="247"/>
      <c r="AS2830" s="247"/>
      <c r="AT2830" s="247"/>
      <c r="AU2830" s="247"/>
    </row>
    <row r="2831" spans="39:47" ht="13.5" customHeight="1">
      <c r="AM2831" s="247"/>
      <c r="AN2831" s="247"/>
      <c r="AO2831" s="247"/>
      <c r="AP2831" s="247"/>
      <c r="AQ2831" s="247"/>
      <c r="AR2831" s="247"/>
      <c r="AS2831" s="247"/>
      <c r="AT2831" s="247"/>
      <c r="AU2831" s="247"/>
    </row>
    <row r="2832" spans="39:47" ht="24" customHeight="1">
      <c r="AM2832" s="247"/>
      <c r="AN2832" s="247"/>
      <c r="AO2832" s="247"/>
      <c r="AP2832" s="247"/>
      <c r="AQ2832" s="247"/>
      <c r="AR2832" s="247"/>
      <c r="AS2832" s="247"/>
      <c r="AT2832" s="247"/>
      <c r="AU2832" s="247"/>
    </row>
    <row r="2833" spans="39:47" ht="13.5" customHeight="1">
      <c r="AM2833" s="247"/>
      <c r="AN2833" s="247"/>
      <c r="AO2833" s="247"/>
      <c r="AP2833" s="247"/>
      <c r="AQ2833" s="247"/>
      <c r="AR2833" s="247"/>
      <c r="AS2833" s="247"/>
      <c r="AT2833" s="247"/>
      <c r="AU2833" s="247"/>
    </row>
    <row r="2834" spans="39:47" ht="24" customHeight="1">
      <c r="AM2834" s="247"/>
      <c r="AN2834" s="247"/>
      <c r="AO2834" s="247"/>
      <c r="AP2834" s="247"/>
      <c r="AQ2834" s="247"/>
      <c r="AR2834" s="247"/>
      <c r="AS2834" s="247"/>
      <c r="AT2834" s="247"/>
      <c r="AU2834" s="247"/>
    </row>
    <row r="2835" spans="39:47" ht="13.5" customHeight="1">
      <c r="AM2835" s="247"/>
      <c r="AN2835" s="247"/>
      <c r="AO2835" s="247"/>
      <c r="AP2835" s="247"/>
      <c r="AQ2835" s="247"/>
      <c r="AR2835" s="247"/>
      <c r="AS2835" s="247"/>
      <c r="AT2835" s="247"/>
      <c r="AU2835" s="247"/>
    </row>
    <row r="2836" spans="39:47" ht="24" customHeight="1">
      <c r="AM2836" s="247"/>
      <c r="AN2836" s="247"/>
      <c r="AO2836" s="247"/>
      <c r="AP2836" s="247"/>
      <c r="AQ2836" s="247"/>
      <c r="AR2836" s="247"/>
      <c r="AS2836" s="247"/>
      <c r="AT2836" s="247"/>
      <c r="AU2836" s="247"/>
    </row>
    <row r="2837" spans="39:47" ht="13.5" customHeight="1">
      <c r="AM2837" s="247"/>
      <c r="AN2837" s="247"/>
      <c r="AO2837" s="247"/>
      <c r="AP2837" s="247"/>
      <c r="AQ2837" s="247"/>
      <c r="AR2837" s="247"/>
      <c r="AS2837" s="247"/>
      <c r="AT2837" s="247"/>
      <c r="AU2837" s="247"/>
    </row>
    <row r="2838" spans="39:47" ht="24" customHeight="1">
      <c r="AM2838" s="247"/>
      <c r="AN2838" s="247"/>
      <c r="AO2838" s="247"/>
      <c r="AP2838" s="247"/>
      <c r="AQ2838" s="247"/>
      <c r="AR2838" s="247"/>
      <c r="AS2838" s="247"/>
      <c r="AT2838" s="247"/>
      <c r="AU2838" s="247"/>
    </row>
    <row r="2839" spans="39:47" ht="13.5" customHeight="1">
      <c r="AM2839" s="247"/>
      <c r="AN2839" s="247"/>
      <c r="AO2839" s="247"/>
      <c r="AP2839" s="247"/>
      <c r="AQ2839" s="247"/>
      <c r="AR2839" s="247"/>
      <c r="AS2839" s="247"/>
      <c r="AT2839" s="247"/>
      <c r="AU2839" s="247"/>
    </row>
    <row r="2840" spans="39:47" ht="24" customHeight="1">
      <c r="AM2840" s="247"/>
      <c r="AN2840" s="247"/>
      <c r="AO2840" s="247"/>
      <c r="AP2840" s="247"/>
      <c r="AQ2840" s="247"/>
      <c r="AR2840" s="247"/>
      <c r="AS2840" s="247"/>
      <c r="AT2840" s="247"/>
      <c r="AU2840" s="247"/>
    </row>
    <row r="2841" spans="39:47" ht="13.5" customHeight="1">
      <c r="AM2841" s="247"/>
      <c r="AN2841" s="247"/>
      <c r="AO2841" s="247"/>
      <c r="AP2841" s="247"/>
      <c r="AQ2841" s="247"/>
      <c r="AR2841" s="247"/>
      <c r="AS2841" s="247"/>
      <c r="AT2841" s="247"/>
      <c r="AU2841" s="247"/>
    </row>
    <row r="2842" spans="39:47" ht="24" customHeight="1">
      <c r="AM2842" s="247"/>
      <c r="AN2842" s="247"/>
      <c r="AO2842" s="247"/>
      <c r="AP2842" s="247"/>
      <c r="AQ2842" s="247"/>
      <c r="AR2842" s="247"/>
      <c r="AS2842" s="247"/>
      <c r="AT2842" s="247"/>
      <c r="AU2842" s="247"/>
    </row>
    <row r="2843" spans="39:47" ht="13.5" customHeight="1">
      <c r="AM2843" s="247"/>
      <c r="AN2843" s="247"/>
      <c r="AO2843" s="247"/>
      <c r="AP2843" s="247"/>
      <c r="AQ2843" s="247"/>
      <c r="AR2843" s="247"/>
      <c r="AS2843" s="247"/>
      <c r="AT2843" s="247"/>
      <c r="AU2843" s="247"/>
    </row>
    <row r="2844" spans="39:47" ht="24" customHeight="1">
      <c r="AM2844" s="247"/>
      <c r="AN2844" s="247"/>
      <c r="AO2844" s="247"/>
      <c r="AP2844" s="247"/>
      <c r="AQ2844" s="247"/>
      <c r="AR2844" s="247"/>
      <c r="AS2844" s="247"/>
      <c r="AT2844" s="247"/>
      <c r="AU2844" s="247"/>
    </row>
    <row r="2845" spans="39:47" ht="13.5" customHeight="1">
      <c r="AM2845" s="247"/>
      <c r="AN2845" s="247"/>
      <c r="AO2845" s="247"/>
      <c r="AP2845" s="247"/>
      <c r="AQ2845" s="247"/>
      <c r="AR2845" s="247"/>
      <c r="AS2845" s="247"/>
      <c r="AT2845" s="247"/>
      <c r="AU2845" s="247"/>
    </row>
    <row r="2846" spans="39:47" ht="24" customHeight="1">
      <c r="AM2846" s="247"/>
      <c r="AN2846" s="247"/>
      <c r="AO2846" s="247"/>
      <c r="AP2846" s="247"/>
      <c r="AQ2846" s="247"/>
      <c r="AR2846" s="247"/>
      <c r="AS2846" s="247"/>
      <c r="AT2846" s="247"/>
      <c r="AU2846" s="247"/>
    </row>
    <row r="2847" spans="39:47" ht="13.5" customHeight="1">
      <c r="AM2847" s="247"/>
      <c r="AN2847" s="247"/>
      <c r="AO2847" s="247"/>
      <c r="AP2847" s="247"/>
      <c r="AQ2847" s="247"/>
      <c r="AR2847" s="247"/>
      <c r="AS2847" s="247"/>
      <c r="AT2847" s="247"/>
      <c r="AU2847" s="247"/>
    </row>
    <row r="2848" spans="39:47" ht="24" customHeight="1">
      <c r="AM2848" s="247"/>
      <c r="AN2848" s="247"/>
      <c r="AO2848" s="247"/>
      <c r="AP2848" s="247"/>
      <c r="AQ2848" s="247"/>
      <c r="AR2848" s="247"/>
      <c r="AS2848" s="247"/>
      <c r="AT2848" s="247"/>
      <c r="AU2848" s="247"/>
    </row>
    <row r="2849" spans="39:47" ht="13.5" customHeight="1">
      <c r="AM2849" s="247"/>
      <c r="AN2849" s="247"/>
      <c r="AO2849" s="247"/>
      <c r="AP2849" s="247"/>
      <c r="AQ2849" s="247"/>
      <c r="AR2849" s="247"/>
      <c r="AS2849" s="247"/>
      <c r="AT2849" s="247"/>
      <c r="AU2849" s="247"/>
    </row>
    <row r="2850" spans="39:47" ht="24" customHeight="1">
      <c r="AM2850" s="247"/>
      <c r="AN2850" s="247"/>
      <c r="AO2850" s="247"/>
      <c r="AP2850" s="247"/>
      <c r="AQ2850" s="247"/>
      <c r="AR2850" s="247"/>
      <c r="AS2850" s="247"/>
      <c r="AT2850" s="247"/>
      <c r="AU2850" s="247"/>
    </row>
    <row r="2851" spans="39:47" ht="13.5" customHeight="1">
      <c r="AM2851" s="247"/>
      <c r="AN2851" s="247"/>
      <c r="AO2851" s="247"/>
      <c r="AP2851" s="247"/>
      <c r="AQ2851" s="247"/>
      <c r="AR2851" s="247"/>
      <c r="AS2851" s="247"/>
      <c r="AT2851" s="247"/>
      <c r="AU2851" s="247"/>
    </row>
    <row r="2852" spans="39:47" ht="24" customHeight="1">
      <c r="AM2852" s="247"/>
      <c r="AN2852" s="247"/>
      <c r="AO2852" s="247"/>
      <c r="AP2852" s="247"/>
      <c r="AQ2852" s="247"/>
      <c r="AR2852" s="247"/>
      <c r="AS2852" s="247"/>
      <c r="AT2852" s="247"/>
      <c r="AU2852" s="247"/>
    </row>
    <row r="2853" spans="39:47" ht="13.5" customHeight="1">
      <c r="AM2853" s="247"/>
      <c r="AN2853" s="247"/>
      <c r="AO2853" s="247"/>
      <c r="AP2853" s="247"/>
      <c r="AQ2853" s="247"/>
      <c r="AR2853" s="247"/>
      <c r="AS2853" s="247"/>
      <c r="AT2853" s="247"/>
      <c r="AU2853" s="247"/>
    </row>
    <row r="2854" spans="39:47" ht="24" customHeight="1">
      <c r="AM2854" s="247"/>
      <c r="AN2854" s="247"/>
      <c r="AO2854" s="247"/>
      <c r="AP2854" s="247"/>
      <c r="AQ2854" s="247"/>
      <c r="AR2854" s="247"/>
      <c r="AS2854" s="247"/>
      <c r="AT2854" s="247"/>
      <c r="AU2854" s="247"/>
    </row>
    <row r="2855" spans="39:47" ht="13.5" customHeight="1">
      <c r="AM2855" s="247"/>
      <c r="AN2855" s="247"/>
      <c r="AO2855" s="247"/>
      <c r="AP2855" s="247"/>
      <c r="AQ2855" s="247"/>
      <c r="AR2855" s="247"/>
      <c r="AS2855" s="247"/>
      <c r="AT2855" s="247"/>
      <c r="AU2855" s="247"/>
    </row>
    <row r="2856" spans="39:47" ht="24" customHeight="1">
      <c r="AM2856" s="247"/>
      <c r="AN2856" s="247"/>
      <c r="AO2856" s="247"/>
      <c r="AP2856" s="247"/>
      <c r="AQ2856" s="247"/>
      <c r="AR2856" s="247"/>
      <c r="AS2856" s="247"/>
      <c r="AT2856" s="247"/>
      <c r="AU2856" s="247"/>
    </row>
    <row r="2857" spans="39:47" ht="13.5" customHeight="1">
      <c r="AM2857" s="247"/>
      <c r="AN2857" s="247"/>
      <c r="AO2857" s="247"/>
      <c r="AP2857" s="247"/>
      <c r="AQ2857" s="247"/>
      <c r="AR2857" s="247"/>
      <c r="AS2857" s="247"/>
      <c r="AT2857" s="247"/>
      <c r="AU2857" s="247"/>
    </row>
    <row r="2858" spans="39:47" ht="24" customHeight="1">
      <c r="AM2858" s="247"/>
      <c r="AN2858" s="247"/>
      <c r="AO2858" s="247"/>
      <c r="AP2858" s="247"/>
      <c r="AQ2858" s="247"/>
      <c r="AR2858" s="247"/>
      <c r="AS2858" s="247"/>
      <c r="AT2858" s="247"/>
      <c r="AU2858" s="247"/>
    </row>
    <row r="2859" spans="39:47" ht="13.5" customHeight="1">
      <c r="AM2859" s="247"/>
      <c r="AN2859" s="247"/>
      <c r="AO2859" s="247"/>
      <c r="AP2859" s="247"/>
      <c r="AQ2859" s="247"/>
      <c r="AR2859" s="247"/>
      <c r="AS2859" s="247"/>
      <c r="AT2859" s="247"/>
      <c r="AU2859" s="247"/>
    </row>
    <row r="2860" spans="39:47" ht="24" customHeight="1">
      <c r="AM2860" s="247"/>
      <c r="AN2860" s="247"/>
      <c r="AO2860" s="247"/>
      <c r="AP2860" s="247"/>
      <c r="AQ2860" s="247"/>
      <c r="AR2860" s="247"/>
      <c r="AS2860" s="247"/>
      <c r="AT2860" s="247"/>
      <c r="AU2860" s="247"/>
    </row>
    <row r="2861" spans="39:47" ht="13.5" customHeight="1">
      <c r="AM2861" s="247"/>
      <c r="AN2861" s="247"/>
      <c r="AO2861" s="247"/>
      <c r="AP2861" s="247"/>
      <c r="AQ2861" s="247"/>
      <c r="AR2861" s="247"/>
      <c r="AS2861" s="247"/>
      <c r="AT2861" s="247"/>
      <c r="AU2861" s="247"/>
    </row>
    <row r="2862" spans="39:47" ht="24" customHeight="1">
      <c r="AM2862" s="247"/>
      <c r="AN2862" s="247"/>
      <c r="AO2862" s="247"/>
      <c r="AP2862" s="247"/>
      <c r="AQ2862" s="247"/>
      <c r="AR2862" s="247"/>
      <c r="AS2862" s="247"/>
      <c r="AT2862" s="247"/>
      <c r="AU2862" s="247"/>
    </row>
    <row r="2863" spans="39:47" ht="13.5" customHeight="1">
      <c r="AM2863" s="247"/>
      <c r="AN2863" s="247"/>
      <c r="AO2863" s="247"/>
      <c r="AP2863" s="247"/>
      <c r="AQ2863" s="247"/>
      <c r="AR2863" s="247"/>
      <c r="AS2863" s="247"/>
      <c r="AT2863" s="247"/>
      <c r="AU2863" s="247"/>
    </row>
    <row r="2864" spans="39:47" ht="24" customHeight="1">
      <c r="AM2864" s="247"/>
      <c r="AN2864" s="247"/>
      <c r="AO2864" s="247"/>
      <c r="AP2864" s="247"/>
      <c r="AQ2864" s="247"/>
      <c r="AR2864" s="247"/>
      <c r="AS2864" s="247"/>
      <c r="AT2864" s="247"/>
      <c r="AU2864" s="247"/>
    </row>
    <row r="2865" spans="39:47" ht="13.5" customHeight="1">
      <c r="AM2865" s="247"/>
      <c r="AN2865" s="247"/>
      <c r="AO2865" s="247"/>
      <c r="AP2865" s="247"/>
      <c r="AQ2865" s="247"/>
      <c r="AR2865" s="247"/>
      <c r="AS2865" s="247"/>
      <c r="AT2865" s="247"/>
      <c r="AU2865" s="247"/>
    </row>
    <row r="2866" spans="39:47" ht="24" customHeight="1">
      <c r="AM2866" s="247"/>
      <c r="AN2866" s="247"/>
      <c r="AO2866" s="247"/>
      <c r="AP2866" s="247"/>
      <c r="AQ2866" s="247"/>
      <c r="AR2866" s="247"/>
      <c r="AS2866" s="247"/>
      <c r="AT2866" s="247"/>
      <c r="AU2866" s="247"/>
    </row>
    <row r="2867" spans="39:47" ht="13.5" customHeight="1">
      <c r="AM2867" s="247"/>
      <c r="AN2867" s="247"/>
      <c r="AO2867" s="247"/>
      <c r="AP2867" s="247"/>
      <c r="AQ2867" s="247"/>
      <c r="AR2867" s="247"/>
      <c r="AS2867" s="247"/>
      <c r="AT2867" s="247"/>
      <c r="AU2867" s="247"/>
    </row>
    <row r="2868" spans="39:47" ht="24" customHeight="1">
      <c r="AM2868" s="247"/>
      <c r="AN2868" s="247"/>
      <c r="AO2868" s="247"/>
      <c r="AP2868" s="247"/>
      <c r="AQ2868" s="247"/>
      <c r="AR2868" s="247"/>
      <c r="AS2868" s="247"/>
      <c r="AT2868" s="247"/>
      <c r="AU2868" s="247"/>
    </row>
    <row r="2869" spans="39:47" ht="13.5" customHeight="1">
      <c r="AM2869" s="247"/>
      <c r="AN2869" s="247"/>
      <c r="AO2869" s="247"/>
      <c r="AP2869" s="247"/>
      <c r="AQ2869" s="247"/>
      <c r="AR2869" s="247"/>
      <c r="AS2869" s="247"/>
      <c r="AT2869" s="247"/>
      <c r="AU2869" s="247"/>
    </row>
    <row r="2870" spans="39:47" ht="24" customHeight="1">
      <c r="AM2870" s="247"/>
      <c r="AN2870" s="247"/>
      <c r="AO2870" s="247"/>
      <c r="AP2870" s="247"/>
      <c r="AQ2870" s="247"/>
      <c r="AR2870" s="247"/>
      <c r="AS2870" s="247"/>
      <c r="AT2870" s="247"/>
      <c r="AU2870" s="247"/>
    </row>
    <row r="2871" spans="39:47" ht="13.5" customHeight="1">
      <c r="AM2871" s="247"/>
      <c r="AN2871" s="247"/>
      <c r="AO2871" s="247"/>
      <c r="AP2871" s="247"/>
      <c r="AQ2871" s="247"/>
      <c r="AR2871" s="247"/>
      <c r="AS2871" s="247"/>
      <c r="AT2871" s="247"/>
      <c r="AU2871" s="247"/>
    </row>
    <row r="2872" spans="39:47" ht="24" customHeight="1">
      <c r="AM2872" s="247"/>
      <c r="AN2872" s="247"/>
      <c r="AO2872" s="247"/>
      <c r="AP2872" s="247"/>
      <c r="AQ2872" s="247"/>
      <c r="AR2872" s="247"/>
      <c r="AS2872" s="247"/>
      <c r="AT2872" s="247"/>
      <c r="AU2872" s="247"/>
    </row>
    <row r="2873" spans="39:47" ht="13.5" customHeight="1">
      <c r="AM2873" s="247"/>
      <c r="AN2873" s="247"/>
      <c r="AO2873" s="247"/>
      <c r="AP2873" s="247"/>
      <c r="AQ2873" s="247"/>
      <c r="AR2873" s="247"/>
      <c r="AS2873" s="247"/>
      <c r="AT2873" s="247"/>
      <c r="AU2873" s="247"/>
    </row>
    <row r="2874" spans="39:47" ht="24" customHeight="1">
      <c r="AM2874" s="247"/>
      <c r="AN2874" s="247"/>
      <c r="AO2874" s="247"/>
      <c r="AP2874" s="247"/>
      <c r="AQ2874" s="247"/>
      <c r="AR2874" s="247"/>
      <c r="AS2874" s="247"/>
      <c r="AT2874" s="247"/>
      <c r="AU2874" s="247"/>
    </row>
    <row r="2875" spans="39:47" ht="13.5" customHeight="1">
      <c r="AM2875" s="247"/>
      <c r="AN2875" s="247"/>
      <c r="AO2875" s="247"/>
      <c r="AP2875" s="247"/>
      <c r="AQ2875" s="247"/>
      <c r="AR2875" s="247"/>
      <c r="AS2875" s="247"/>
      <c r="AT2875" s="247"/>
      <c r="AU2875" s="247"/>
    </row>
    <row r="2876" spans="39:47" ht="24" customHeight="1">
      <c r="AM2876" s="247"/>
      <c r="AN2876" s="247"/>
      <c r="AO2876" s="247"/>
      <c r="AP2876" s="247"/>
      <c r="AQ2876" s="247"/>
      <c r="AR2876" s="247"/>
      <c r="AS2876" s="247"/>
      <c r="AT2876" s="247"/>
      <c r="AU2876" s="247"/>
    </row>
    <row r="2877" spans="39:47" ht="13.5" customHeight="1">
      <c r="AM2877" s="247"/>
      <c r="AN2877" s="247"/>
      <c r="AO2877" s="247"/>
      <c r="AP2877" s="247"/>
      <c r="AQ2877" s="247"/>
      <c r="AR2877" s="247"/>
      <c r="AS2877" s="247"/>
      <c r="AT2877" s="247"/>
      <c r="AU2877" s="247"/>
    </row>
    <row r="2878" spans="39:47" ht="24" customHeight="1">
      <c r="AM2878" s="247"/>
      <c r="AN2878" s="247"/>
      <c r="AO2878" s="247"/>
      <c r="AP2878" s="247"/>
      <c r="AQ2878" s="247"/>
      <c r="AR2878" s="247"/>
      <c r="AS2878" s="247"/>
      <c r="AT2878" s="247"/>
      <c r="AU2878" s="247"/>
    </row>
    <row r="2879" spans="39:47" ht="13.5" customHeight="1">
      <c r="AM2879" s="247"/>
      <c r="AN2879" s="247"/>
      <c r="AO2879" s="247"/>
      <c r="AP2879" s="247"/>
      <c r="AQ2879" s="247"/>
      <c r="AR2879" s="247"/>
      <c r="AS2879" s="247"/>
      <c r="AT2879" s="247"/>
      <c r="AU2879" s="247"/>
    </row>
    <row r="2880" spans="39:47" ht="24" customHeight="1">
      <c r="AM2880" s="247"/>
      <c r="AN2880" s="247"/>
      <c r="AO2880" s="247"/>
      <c r="AP2880" s="247"/>
      <c r="AQ2880" s="247"/>
      <c r="AR2880" s="247"/>
      <c r="AS2880" s="247"/>
      <c r="AT2880" s="247"/>
      <c r="AU2880" s="247"/>
    </row>
    <row r="2881" spans="39:47" ht="13.5" customHeight="1">
      <c r="AM2881" s="247"/>
      <c r="AN2881" s="247"/>
      <c r="AO2881" s="247"/>
      <c r="AP2881" s="247"/>
      <c r="AQ2881" s="247"/>
      <c r="AR2881" s="247"/>
      <c r="AS2881" s="247"/>
      <c r="AT2881" s="247"/>
      <c r="AU2881" s="247"/>
    </row>
    <row r="2882" spans="39:47" ht="24" customHeight="1">
      <c r="AM2882" s="247"/>
      <c r="AN2882" s="247"/>
      <c r="AO2882" s="247"/>
      <c r="AP2882" s="247"/>
      <c r="AQ2882" s="247"/>
      <c r="AR2882" s="247"/>
      <c r="AS2882" s="247"/>
      <c r="AT2882" s="247"/>
      <c r="AU2882" s="247"/>
    </row>
    <row r="2883" spans="39:47" ht="13.5" customHeight="1">
      <c r="AM2883" s="247"/>
      <c r="AN2883" s="247"/>
      <c r="AO2883" s="247"/>
      <c r="AP2883" s="247"/>
      <c r="AQ2883" s="247"/>
      <c r="AR2883" s="247"/>
      <c r="AS2883" s="247"/>
      <c r="AT2883" s="247"/>
      <c r="AU2883" s="247"/>
    </row>
    <row r="2884" spans="39:47" ht="24" customHeight="1">
      <c r="AM2884" s="247"/>
      <c r="AN2884" s="247"/>
      <c r="AO2884" s="247"/>
      <c r="AP2884" s="247"/>
      <c r="AQ2884" s="247"/>
      <c r="AR2884" s="247"/>
      <c r="AS2884" s="247"/>
      <c r="AT2884" s="247"/>
      <c r="AU2884" s="247"/>
    </row>
    <row r="2885" spans="39:47" ht="13.5" customHeight="1">
      <c r="AM2885" s="247"/>
      <c r="AN2885" s="247"/>
      <c r="AO2885" s="247"/>
      <c r="AP2885" s="247"/>
      <c r="AQ2885" s="247"/>
      <c r="AR2885" s="247"/>
      <c r="AS2885" s="247"/>
      <c r="AT2885" s="247"/>
      <c r="AU2885" s="247"/>
    </row>
    <row r="2886" spans="39:47" ht="24" customHeight="1">
      <c r="AM2886" s="247"/>
      <c r="AN2886" s="247"/>
      <c r="AO2886" s="247"/>
      <c r="AP2886" s="247"/>
      <c r="AQ2886" s="247"/>
      <c r="AR2886" s="247"/>
      <c r="AS2886" s="247"/>
      <c r="AT2886" s="247"/>
      <c r="AU2886" s="247"/>
    </row>
    <row r="2887" spans="39:47" ht="13.5" customHeight="1">
      <c r="AM2887" s="247"/>
      <c r="AN2887" s="247"/>
      <c r="AO2887" s="247"/>
      <c r="AP2887" s="247"/>
      <c r="AQ2887" s="247"/>
      <c r="AR2887" s="247"/>
      <c r="AS2887" s="247"/>
      <c r="AT2887" s="247"/>
      <c r="AU2887" s="247"/>
    </row>
    <row r="2888" spans="39:47" ht="24" customHeight="1">
      <c r="AM2888" s="247"/>
      <c r="AN2888" s="247"/>
      <c r="AO2888" s="247"/>
      <c r="AP2888" s="247"/>
      <c r="AQ2888" s="247"/>
      <c r="AR2888" s="247"/>
      <c r="AS2888" s="247"/>
      <c r="AT2888" s="247"/>
      <c r="AU2888" s="247"/>
    </row>
    <row r="2889" spans="39:47" ht="13.5" customHeight="1">
      <c r="AM2889" s="247"/>
      <c r="AN2889" s="247"/>
      <c r="AO2889" s="247"/>
      <c r="AP2889" s="247"/>
      <c r="AQ2889" s="247"/>
      <c r="AR2889" s="247"/>
      <c r="AS2889" s="247"/>
      <c r="AT2889" s="247"/>
      <c r="AU2889" s="247"/>
    </row>
    <row r="2890" spans="39:47" ht="24" customHeight="1">
      <c r="AM2890" s="247"/>
      <c r="AN2890" s="247"/>
      <c r="AO2890" s="247"/>
      <c r="AP2890" s="247"/>
      <c r="AQ2890" s="247"/>
      <c r="AR2890" s="247"/>
      <c r="AS2890" s="247"/>
      <c r="AT2890" s="247"/>
      <c r="AU2890" s="247"/>
    </row>
    <row r="2891" spans="39:47" ht="13.5" customHeight="1">
      <c r="AM2891" s="247"/>
      <c r="AN2891" s="247"/>
      <c r="AO2891" s="247"/>
      <c r="AP2891" s="247"/>
      <c r="AQ2891" s="247"/>
      <c r="AR2891" s="247"/>
      <c r="AS2891" s="247"/>
      <c r="AT2891" s="247"/>
      <c r="AU2891" s="247"/>
    </row>
    <row r="2892" spans="39:47" ht="24" customHeight="1">
      <c r="AM2892" s="247"/>
      <c r="AN2892" s="247"/>
      <c r="AO2892" s="247"/>
      <c r="AP2892" s="247"/>
      <c r="AQ2892" s="247"/>
      <c r="AR2892" s="247"/>
      <c r="AS2892" s="247"/>
      <c r="AT2892" s="247"/>
      <c r="AU2892" s="247"/>
    </row>
    <row r="2893" spans="39:47" ht="13.5" customHeight="1">
      <c r="AM2893" s="247"/>
      <c r="AN2893" s="247"/>
      <c r="AO2893" s="247"/>
      <c r="AP2893" s="247"/>
      <c r="AQ2893" s="247"/>
      <c r="AR2893" s="247"/>
      <c r="AS2893" s="247"/>
      <c r="AT2893" s="247"/>
      <c r="AU2893" s="247"/>
    </row>
    <row r="2894" spans="39:47" ht="24" customHeight="1">
      <c r="AM2894" s="247"/>
      <c r="AN2894" s="247"/>
      <c r="AO2894" s="247"/>
      <c r="AP2894" s="247"/>
      <c r="AQ2894" s="247"/>
      <c r="AR2894" s="247"/>
      <c r="AS2894" s="247"/>
      <c r="AT2894" s="247"/>
      <c r="AU2894" s="247"/>
    </row>
    <row r="2895" spans="39:47" ht="13.5" customHeight="1">
      <c r="AM2895" s="247"/>
      <c r="AN2895" s="247"/>
      <c r="AO2895" s="247"/>
      <c r="AP2895" s="247"/>
      <c r="AQ2895" s="247"/>
      <c r="AR2895" s="247"/>
      <c r="AS2895" s="247"/>
      <c r="AT2895" s="247"/>
      <c r="AU2895" s="247"/>
    </row>
    <row r="2896" spans="39:47" ht="24" customHeight="1">
      <c r="AM2896" s="247"/>
      <c r="AN2896" s="247"/>
      <c r="AO2896" s="247"/>
      <c r="AP2896" s="247"/>
      <c r="AQ2896" s="247"/>
      <c r="AR2896" s="247"/>
      <c r="AS2896" s="247"/>
      <c r="AT2896" s="247"/>
      <c r="AU2896" s="247"/>
    </row>
    <row r="2897" spans="39:47" ht="13.5" customHeight="1">
      <c r="AM2897" s="247"/>
      <c r="AN2897" s="247"/>
      <c r="AO2897" s="247"/>
      <c r="AP2897" s="247"/>
      <c r="AQ2897" s="247"/>
      <c r="AR2897" s="247"/>
      <c r="AS2897" s="247"/>
      <c r="AT2897" s="247"/>
      <c r="AU2897" s="247"/>
    </row>
    <row r="2898" spans="39:47" ht="24" customHeight="1">
      <c r="AM2898" s="247"/>
      <c r="AN2898" s="247"/>
      <c r="AO2898" s="247"/>
      <c r="AP2898" s="247"/>
      <c r="AQ2898" s="247"/>
      <c r="AR2898" s="247"/>
      <c r="AS2898" s="247"/>
      <c r="AT2898" s="247"/>
      <c r="AU2898" s="247"/>
    </row>
    <row r="2899" spans="39:47" ht="13.5" customHeight="1">
      <c r="AM2899" s="247"/>
      <c r="AN2899" s="247"/>
      <c r="AO2899" s="247"/>
      <c r="AP2899" s="247"/>
      <c r="AQ2899" s="247"/>
      <c r="AR2899" s="247"/>
      <c r="AS2899" s="247"/>
      <c r="AT2899" s="247"/>
      <c r="AU2899" s="247"/>
    </row>
    <row r="2900" spans="39:47" ht="24" customHeight="1">
      <c r="AM2900" s="247"/>
      <c r="AN2900" s="247"/>
      <c r="AO2900" s="247"/>
      <c r="AP2900" s="247"/>
      <c r="AQ2900" s="247"/>
      <c r="AR2900" s="247"/>
      <c r="AS2900" s="247"/>
      <c r="AT2900" s="247"/>
      <c r="AU2900" s="247"/>
    </row>
    <row r="2901" spans="39:47" ht="13.5" customHeight="1">
      <c r="AM2901" s="247"/>
      <c r="AN2901" s="247"/>
      <c r="AO2901" s="247"/>
      <c r="AP2901" s="247"/>
      <c r="AQ2901" s="247"/>
      <c r="AR2901" s="247"/>
      <c r="AS2901" s="247"/>
      <c r="AT2901" s="247"/>
      <c r="AU2901" s="247"/>
    </row>
    <row r="2902" spans="39:47" ht="24" customHeight="1">
      <c r="AM2902" s="247"/>
      <c r="AN2902" s="247"/>
      <c r="AO2902" s="247"/>
      <c r="AP2902" s="247"/>
      <c r="AQ2902" s="247"/>
      <c r="AR2902" s="247"/>
      <c r="AS2902" s="247"/>
      <c r="AT2902" s="247"/>
      <c r="AU2902" s="247"/>
    </row>
    <row r="2903" spans="39:47" ht="13.5" customHeight="1">
      <c r="AM2903" s="247"/>
      <c r="AN2903" s="247"/>
      <c r="AO2903" s="247"/>
      <c r="AP2903" s="247"/>
      <c r="AQ2903" s="247"/>
      <c r="AR2903" s="247"/>
      <c r="AS2903" s="247"/>
      <c r="AT2903" s="247"/>
      <c r="AU2903" s="247"/>
    </row>
    <row r="2904" spans="39:47" ht="24" customHeight="1">
      <c r="AM2904" s="247"/>
      <c r="AN2904" s="247"/>
      <c r="AO2904" s="247"/>
      <c r="AP2904" s="247"/>
      <c r="AQ2904" s="247"/>
      <c r="AR2904" s="247"/>
      <c r="AS2904" s="247"/>
      <c r="AT2904" s="247"/>
      <c r="AU2904" s="247"/>
    </row>
    <row r="2905" spans="39:47" ht="13.5" customHeight="1">
      <c r="AM2905" s="247"/>
      <c r="AN2905" s="247"/>
      <c r="AO2905" s="247"/>
      <c r="AP2905" s="247"/>
      <c r="AQ2905" s="247"/>
      <c r="AR2905" s="247"/>
      <c r="AS2905" s="247"/>
      <c r="AT2905" s="247"/>
      <c r="AU2905" s="247"/>
    </row>
    <row r="2906" spans="39:47" ht="24" customHeight="1">
      <c r="AM2906" s="247"/>
      <c r="AN2906" s="247"/>
      <c r="AO2906" s="247"/>
      <c r="AP2906" s="247"/>
      <c r="AQ2906" s="247"/>
      <c r="AR2906" s="247"/>
      <c r="AS2906" s="247"/>
      <c r="AT2906" s="247"/>
      <c r="AU2906" s="247"/>
    </row>
    <row r="2907" spans="39:47" ht="13.5" customHeight="1">
      <c r="AM2907" s="247"/>
      <c r="AN2907" s="247"/>
      <c r="AO2907" s="247"/>
      <c r="AP2907" s="247"/>
      <c r="AQ2907" s="247"/>
      <c r="AR2907" s="247"/>
      <c r="AS2907" s="247"/>
      <c r="AT2907" s="247"/>
      <c r="AU2907" s="247"/>
    </row>
    <row r="2908" spans="39:47" ht="24" customHeight="1">
      <c r="AM2908" s="247"/>
      <c r="AN2908" s="247"/>
      <c r="AO2908" s="247"/>
      <c r="AP2908" s="247"/>
      <c r="AQ2908" s="247"/>
      <c r="AR2908" s="247"/>
      <c r="AS2908" s="247"/>
      <c r="AT2908" s="247"/>
      <c r="AU2908" s="247"/>
    </row>
    <row r="2909" spans="39:47" ht="13.5" customHeight="1">
      <c r="AM2909" s="247"/>
      <c r="AN2909" s="247"/>
      <c r="AO2909" s="247"/>
      <c r="AP2909" s="247"/>
      <c r="AQ2909" s="247"/>
      <c r="AR2909" s="247"/>
      <c r="AS2909" s="247"/>
      <c r="AT2909" s="247"/>
      <c r="AU2909" s="247"/>
    </row>
    <row r="2910" spans="39:47" ht="24" customHeight="1">
      <c r="AM2910" s="247"/>
      <c r="AN2910" s="247"/>
      <c r="AO2910" s="247"/>
      <c r="AP2910" s="247"/>
      <c r="AQ2910" s="247"/>
      <c r="AR2910" s="247"/>
      <c r="AS2910" s="247"/>
      <c r="AT2910" s="247"/>
      <c r="AU2910" s="247"/>
    </row>
    <row r="2911" spans="39:47" ht="13.5" customHeight="1">
      <c r="AM2911" s="247"/>
      <c r="AN2911" s="247"/>
      <c r="AO2911" s="247"/>
      <c r="AP2911" s="247"/>
      <c r="AQ2911" s="247"/>
      <c r="AR2911" s="247"/>
      <c r="AS2911" s="247"/>
      <c r="AT2911" s="247"/>
      <c r="AU2911" s="247"/>
    </row>
    <row r="2912" spans="39:47" ht="24" customHeight="1">
      <c r="AM2912" s="247"/>
      <c r="AN2912" s="247"/>
      <c r="AO2912" s="247"/>
      <c r="AP2912" s="247"/>
      <c r="AQ2912" s="247"/>
      <c r="AR2912" s="247"/>
      <c r="AS2912" s="247"/>
      <c r="AT2912" s="247"/>
      <c r="AU2912" s="247"/>
    </row>
    <row r="2913" spans="39:47" ht="13.5" customHeight="1">
      <c r="AM2913" s="247"/>
      <c r="AN2913" s="247"/>
      <c r="AO2913" s="247"/>
      <c r="AP2913" s="247"/>
      <c r="AQ2913" s="247"/>
      <c r="AR2913" s="247"/>
      <c r="AS2913" s="247"/>
      <c r="AT2913" s="247"/>
      <c r="AU2913" s="247"/>
    </row>
    <row r="2914" spans="39:47" ht="24" customHeight="1">
      <c r="AM2914" s="247"/>
      <c r="AN2914" s="247"/>
      <c r="AO2914" s="247"/>
      <c r="AP2914" s="247"/>
      <c r="AQ2914" s="247"/>
      <c r="AR2914" s="247"/>
      <c r="AS2914" s="247"/>
      <c r="AT2914" s="247"/>
      <c r="AU2914" s="247"/>
    </row>
    <row r="2915" spans="39:47" ht="13.5" customHeight="1">
      <c r="AM2915" s="247"/>
      <c r="AN2915" s="247"/>
      <c r="AO2915" s="247"/>
      <c r="AP2915" s="247"/>
      <c r="AQ2915" s="247"/>
      <c r="AR2915" s="247"/>
      <c r="AS2915" s="247"/>
      <c r="AT2915" s="247"/>
      <c r="AU2915" s="247"/>
    </row>
    <row r="2916" spans="39:47" ht="24" customHeight="1">
      <c r="AM2916" s="247"/>
      <c r="AN2916" s="247"/>
      <c r="AO2916" s="247"/>
      <c r="AP2916" s="247"/>
      <c r="AQ2916" s="247"/>
      <c r="AR2916" s="247"/>
      <c r="AS2916" s="247"/>
      <c r="AT2916" s="247"/>
      <c r="AU2916" s="247"/>
    </row>
    <row r="2917" spans="39:47" ht="13.5" customHeight="1">
      <c r="AM2917" s="247"/>
      <c r="AN2917" s="247"/>
      <c r="AO2917" s="247"/>
      <c r="AP2917" s="247"/>
      <c r="AQ2917" s="247"/>
      <c r="AR2917" s="247"/>
      <c r="AS2917" s="247"/>
      <c r="AT2917" s="247"/>
      <c r="AU2917" s="247"/>
    </row>
    <row r="2918" spans="39:47" ht="24" customHeight="1">
      <c r="AM2918" s="247"/>
      <c r="AN2918" s="247"/>
      <c r="AO2918" s="247"/>
      <c r="AP2918" s="247"/>
      <c r="AQ2918" s="247"/>
      <c r="AR2918" s="247"/>
      <c r="AS2918" s="247"/>
      <c r="AT2918" s="247"/>
      <c r="AU2918" s="247"/>
    </row>
    <row r="2919" spans="39:47" ht="13.5" customHeight="1">
      <c r="AM2919" s="247"/>
      <c r="AN2919" s="247"/>
      <c r="AO2919" s="247"/>
      <c r="AP2919" s="247"/>
      <c r="AQ2919" s="247"/>
      <c r="AR2919" s="247"/>
      <c r="AS2919" s="247"/>
      <c r="AT2919" s="247"/>
      <c r="AU2919" s="247"/>
    </row>
    <row r="2920" spans="39:47" ht="24" customHeight="1">
      <c r="AM2920" s="247"/>
      <c r="AN2920" s="247"/>
      <c r="AO2920" s="247"/>
      <c r="AP2920" s="247"/>
      <c r="AQ2920" s="247"/>
      <c r="AR2920" s="247"/>
      <c r="AS2920" s="247"/>
      <c r="AT2920" s="247"/>
      <c r="AU2920" s="247"/>
    </row>
    <row r="2921" spans="39:47" ht="13.5" customHeight="1">
      <c r="AM2921" s="247"/>
      <c r="AN2921" s="247"/>
      <c r="AO2921" s="247"/>
      <c r="AP2921" s="247"/>
      <c r="AQ2921" s="247"/>
      <c r="AR2921" s="247"/>
      <c r="AS2921" s="247"/>
      <c r="AT2921" s="247"/>
      <c r="AU2921" s="247"/>
    </row>
    <row r="2922" spans="39:47" ht="24" customHeight="1">
      <c r="AM2922" s="247"/>
      <c r="AN2922" s="247"/>
      <c r="AO2922" s="247"/>
      <c r="AP2922" s="247"/>
      <c r="AQ2922" s="247"/>
      <c r="AR2922" s="247"/>
      <c r="AS2922" s="247"/>
      <c r="AT2922" s="247"/>
      <c r="AU2922" s="247"/>
    </row>
    <row r="2923" spans="39:47" ht="13.5" customHeight="1">
      <c r="AM2923" s="247"/>
      <c r="AN2923" s="247"/>
      <c r="AO2923" s="247"/>
      <c r="AP2923" s="247"/>
      <c r="AQ2923" s="247"/>
      <c r="AR2923" s="247"/>
      <c r="AS2923" s="247"/>
      <c r="AT2923" s="247"/>
      <c r="AU2923" s="247"/>
    </row>
    <row r="2924" spans="39:47" ht="24" customHeight="1">
      <c r="AM2924" s="247"/>
      <c r="AN2924" s="247"/>
      <c r="AO2924" s="247"/>
      <c r="AP2924" s="247"/>
      <c r="AQ2924" s="247"/>
      <c r="AR2924" s="247"/>
      <c r="AS2924" s="247"/>
      <c r="AT2924" s="247"/>
      <c r="AU2924" s="247"/>
    </row>
    <row r="2925" spans="39:47" ht="13.5" customHeight="1">
      <c r="AM2925" s="247"/>
      <c r="AN2925" s="247"/>
      <c r="AO2925" s="247"/>
      <c r="AP2925" s="247"/>
      <c r="AQ2925" s="247"/>
      <c r="AR2925" s="247"/>
      <c r="AS2925" s="247"/>
      <c r="AT2925" s="247"/>
      <c r="AU2925" s="247"/>
    </row>
    <row r="2926" spans="39:47" ht="24" customHeight="1">
      <c r="AM2926" s="247"/>
      <c r="AN2926" s="247"/>
      <c r="AO2926" s="247"/>
      <c r="AP2926" s="247"/>
      <c r="AQ2926" s="247"/>
      <c r="AR2926" s="247"/>
      <c r="AS2926" s="247"/>
      <c r="AT2926" s="247"/>
      <c r="AU2926" s="247"/>
    </row>
    <row r="2927" spans="39:47" ht="13.5" customHeight="1">
      <c r="AM2927" s="247"/>
      <c r="AN2927" s="247"/>
      <c r="AO2927" s="247"/>
      <c r="AP2927" s="247"/>
      <c r="AQ2927" s="247"/>
      <c r="AR2927" s="247"/>
      <c r="AS2927" s="247"/>
      <c r="AT2927" s="247"/>
      <c r="AU2927" s="247"/>
    </row>
    <row r="2928" spans="39:47" ht="24" customHeight="1">
      <c r="AM2928" s="247"/>
      <c r="AN2928" s="247"/>
      <c r="AO2928" s="247"/>
      <c r="AP2928" s="247"/>
      <c r="AQ2928" s="247"/>
      <c r="AR2928" s="247"/>
      <c r="AS2928" s="247"/>
      <c r="AT2928" s="247"/>
      <c r="AU2928" s="247"/>
    </row>
    <row r="2929" spans="39:47" ht="13.5" customHeight="1">
      <c r="AM2929" s="247"/>
      <c r="AN2929" s="247"/>
      <c r="AO2929" s="247"/>
      <c r="AP2929" s="247"/>
      <c r="AQ2929" s="247"/>
      <c r="AR2929" s="247"/>
      <c r="AS2929" s="247"/>
      <c r="AT2929" s="247"/>
      <c r="AU2929" s="247"/>
    </row>
    <row r="2930" spans="39:47" ht="24" customHeight="1">
      <c r="AM2930" s="247"/>
      <c r="AN2930" s="247"/>
      <c r="AO2930" s="247"/>
      <c r="AP2930" s="247"/>
      <c r="AQ2930" s="247"/>
      <c r="AR2930" s="247"/>
      <c r="AS2930" s="247"/>
      <c r="AT2930" s="247"/>
      <c r="AU2930" s="247"/>
    </row>
    <row r="2931" spans="39:47" ht="13.5" customHeight="1">
      <c r="AM2931" s="247"/>
      <c r="AN2931" s="247"/>
      <c r="AO2931" s="247"/>
      <c r="AP2931" s="247"/>
      <c r="AQ2931" s="247"/>
      <c r="AR2931" s="247"/>
      <c r="AS2931" s="247"/>
      <c r="AT2931" s="247"/>
      <c r="AU2931" s="247"/>
    </row>
    <row r="2932" spans="39:47" ht="24" customHeight="1">
      <c r="AM2932" s="247"/>
      <c r="AN2932" s="247"/>
      <c r="AO2932" s="247"/>
      <c r="AP2932" s="247"/>
      <c r="AQ2932" s="247"/>
      <c r="AR2932" s="247"/>
      <c r="AS2932" s="247"/>
      <c r="AT2932" s="247"/>
      <c r="AU2932" s="247"/>
    </row>
    <row r="2933" spans="39:47" ht="13.5" customHeight="1"/>
    <row r="2934" spans="39:47" ht="24" customHeight="1"/>
    <row r="2935" spans="39:47" ht="13.5" customHeight="1"/>
    <row r="2936" spans="39:47" ht="24" customHeight="1"/>
    <row r="2937" spans="39:47" ht="13.5" customHeight="1"/>
    <row r="2938" spans="39:47" ht="24" customHeight="1"/>
    <row r="2939" spans="39:47" ht="13.5" customHeight="1"/>
    <row r="2940" spans="39:47" ht="24" customHeight="1"/>
    <row r="2941" spans="39:47" ht="13.5" customHeight="1"/>
    <row r="2942" spans="39:47" ht="24" customHeight="1"/>
    <row r="2943" spans="39:47" ht="13.5" customHeight="1"/>
    <row r="2944" spans="39:47" ht="24" customHeight="1"/>
    <row r="2945" spans="40:40" ht="13.5" customHeight="1"/>
    <row r="2946" spans="40:40" ht="24" customHeight="1"/>
    <row r="2947" spans="40:40" ht="13.5" customHeight="1"/>
    <row r="2948" spans="40:40" ht="24" customHeight="1">
      <c r="AN2948" s="117"/>
    </row>
    <row r="2949" spans="40:40" ht="13.5" customHeight="1">
      <c r="AN2949" s="116"/>
    </row>
    <row r="2950" spans="40:40" ht="24" customHeight="1">
      <c r="AN2950" s="116"/>
    </row>
    <row r="2951" spans="40:40" ht="13.5" customHeight="1">
      <c r="AN2951" s="116"/>
    </row>
    <row r="2952" spans="40:40" ht="24" customHeight="1">
      <c r="AN2952" s="116"/>
    </row>
    <row r="2953" spans="40:40" ht="13.5" customHeight="1"/>
    <row r="2954" spans="40:40" ht="24" customHeight="1"/>
    <row r="2955" spans="40:40" ht="13.5" customHeight="1"/>
    <row r="2956" spans="40:40" ht="24" customHeight="1"/>
    <row r="2957" spans="40:40" ht="13.5" customHeight="1"/>
    <row r="2958" spans="40:40" ht="24" customHeight="1"/>
    <row r="2959" spans="40:40" ht="13.5" customHeight="1"/>
    <row r="2960" spans="40:40" ht="13.5" customHeight="1"/>
    <row r="2961" ht="24" customHeight="1"/>
    <row r="2962" ht="13.5" customHeight="1"/>
    <row r="2963" ht="24" customHeight="1"/>
    <row r="2964" ht="13.5" customHeight="1"/>
    <row r="2965" ht="33" customHeight="1"/>
    <row r="2966" ht="13.5" customHeight="1"/>
    <row r="2967" ht="33" customHeight="1"/>
    <row r="2968" ht="13.5" customHeight="1"/>
    <row r="2969" ht="33" customHeight="1"/>
    <row r="2970" ht="13.5" customHeight="1"/>
    <row r="2982" spans="16:16" ht="12.75" customHeight="1"/>
    <row r="2983" spans="16:16">
      <c r="P2983" s="220"/>
    </row>
    <row r="2984" spans="16:16" ht="12.75" customHeight="1">
      <c r="P2984" s="220"/>
    </row>
    <row r="2985" spans="16:16">
      <c r="P2985" s="220"/>
    </row>
    <row r="2986" spans="16:16">
      <c r="P2986" s="220"/>
    </row>
    <row r="2987" spans="16:16">
      <c r="P2987" s="220"/>
    </row>
    <row r="2988" spans="16:16">
      <c r="P2988" s="220"/>
    </row>
    <row r="2989" spans="16:16">
      <c r="P2989" s="220"/>
    </row>
    <row r="2990" spans="16:16">
      <c r="P2990" s="220"/>
    </row>
    <row r="2991" spans="16:16">
      <c r="P2991" s="220"/>
    </row>
    <row r="2992" spans="16:16">
      <c r="P2992" s="220"/>
    </row>
    <row r="2993" spans="16:16">
      <c r="P2993" s="220"/>
    </row>
    <row r="2994" spans="16:16">
      <c r="P2994" s="220"/>
    </row>
    <row r="2995" spans="16:16">
      <c r="P2995" s="220"/>
    </row>
    <row r="2996" spans="16:16">
      <c r="P2996" s="220"/>
    </row>
    <row r="2997" spans="16:16">
      <c r="P2997" s="220"/>
    </row>
    <row r="2998" spans="16:16">
      <c r="P2998" s="220"/>
    </row>
    <row r="2999" spans="16:16">
      <c r="P2999" s="220"/>
    </row>
    <row r="3000" spans="16:16">
      <c r="P3000" s="220"/>
    </row>
    <row r="3001" spans="16:16">
      <c r="P3001" s="220"/>
    </row>
    <row r="3002" spans="16:16">
      <c r="P3002" s="220"/>
    </row>
    <row r="3003" spans="16:16">
      <c r="P3003" s="220"/>
    </row>
    <row r="3004" spans="16:16">
      <c r="P3004" s="220"/>
    </row>
    <row r="3005" spans="16:16">
      <c r="P3005" s="220"/>
    </row>
    <row r="3006" spans="16:16">
      <c r="P3006" s="220"/>
    </row>
    <row r="3007" spans="16:16">
      <c r="P3007" s="220"/>
    </row>
    <row r="3008" spans="16:16">
      <c r="P3008" s="220"/>
    </row>
    <row r="3009" spans="16:16">
      <c r="P3009" s="220"/>
    </row>
    <row r="3010" spans="16:16">
      <c r="P3010" s="220"/>
    </row>
    <row r="3011" spans="16:16">
      <c r="P3011" s="220"/>
    </row>
    <row r="3012" spans="16:16">
      <c r="P3012" s="220"/>
    </row>
    <row r="3013" spans="16:16">
      <c r="P3013" s="220"/>
    </row>
    <row r="3014" spans="16:16">
      <c r="P3014" s="220"/>
    </row>
    <row r="3015" spans="16:16">
      <c r="P3015" s="220"/>
    </row>
    <row r="3016" spans="16:16">
      <c r="P3016" s="220"/>
    </row>
    <row r="3017" spans="16:16">
      <c r="P3017" s="220"/>
    </row>
    <row r="3018" spans="16:16">
      <c r="P3018" s="220"/>
    </row>
    <row r="3019" spans="16:16">
      <c r="P3019" s="220"/>
    </row>
    <row r="3020" spans="16:16">
      <c r="P3020" s="220"/>
    </row>
    <row r="3021" spans="16:16">
      <c r="P3021" s="220"/>
    </row>
    <row r="3022" spans="16:16">
      <c r="P3022" s="220"/>
    </row>
    <row r="3023" spans="16:16">
      <c r="P3023" s="220"/>
    </row>
    <row r="3024" spans="16:16">
      <c r="P3024" s="220"/>
    </row>
    <row r="3025" spans="16:16">
      <c r="P3025" s="220"/>
    </row>
    <row r="3026" spans="16:16">
      <c r="P3026" s="220"/>
    </row>
    <row r="3027" spans="16:16">
      <c r="P3027" s="220"/>
    </row>
    <row r="3028" spans="16:16">
      <c r="P3028" s="220"/>
    </row>
    <row r="3029" spans="16:16">
      <c r="P3029" s="220"/>
    </row>
    <row r="3030" spans="16:16">
      <c r="P3030" s="220"/>
    </row>
    <row r="3031" spans="16:16">
      <c r="P3031" s="220"/>
    </row>
    <row r="3032" spans="16:16">
      <c r="P3032" s="220"/>
    </row>
    <row r="3033" spans="16:16">
      <c r="P3033" s="220"/>
    </row>
    <row r="3034" spans="16:16">
      <c r="P3034" s="220"/>
    </row>
    <row r="3035" spans="16:16">
      <c r="P3035" s="220"/>
    </row>
    <row r="3036" spans="16:16">
      <c r="P3036" s="220"/>
    </row>
    <row r="3037" spans="16:16">
      <c r="P3037" s="220"/>
    </row>
    <row r="3038" spans="16:16">
      <c r="P3038" s="220"/>
    </row>
    <row r="3039" spans="16:16">
      <c r="P3039" s="220"/>
    </row>
    <row r="3040" spans="16:16">
      <c r="P3040" s="220"/>
    </row>
    <row r="3041" spans="16:16">
      <c r="P3041" s="220"/>
    </row>
    <row r="3042" spans="16:16">
      <c r="P3042" s="220"/>
    </row>
    <row r="3043" spans="16:16">
      <c r="P3043" s="220"/>
    </row>
    <row r="3044" spans="16:16">
      <c r="P3044" s="220"/>
    </row>
    <row r="3045" spans="16:16">
      <c r="P3045" s="220"/>
    </row>
    <row r="3046" spans="16:16">
      <c r="P3046" s="220"/>
    </row>
    <row r="3047" spans="16:16">
      <c r="P3047" s="220"/>
    </row>
    <row r="3048" spans="16:16">
      <c r="P3048" s="220"/>
    </row>
    <row r="3049" spans="16:16">
      <c r="P3049" s="220"/>
    </row>
    <row r="3050" spans="16:16">
      <c r="P3050" s="220"/>
    </row>
    <row r="3051" spans="16:16">
      <c r="P3051" s="220"/>
    </row>
    <row r="3052" spans="16:16">
      <c r="P3052" s="220"/>
    </row>
    <row r="3053" spans="16:16">
      <c r="P3053" s="220"/>
    </row>
    <row r="3054" spans="16:16">
      <c r="P3054" s="220"/>
    </row>
    <row r="3055" spans="16:16">
      <c r="P3055" s="220"/>
    </row>
    <row r="3056" spans="16:16">
      <c r="P3056" s="220"/>
    </row>
    <row r="3057" spans="16:16">
      <c r="P3057" s="220"/>
    </row>
    <row r="3058" spans="16:16">
      <c r="P3058" s="220"/>
    </row>
    <row r="3059" spans="16:16">
      <c r="P3059" s="220"/>
    </row>
    <row r="3060" spans="16:16">
      <c r="P3060" s="220"/>
    </row>
    <row r="3061" spans="16:16">
      <c r="P3061" s="220"/>
    </row>
  </sheetData>
  <sheetProtection password="DE15" sheet="1" objects="1" scenarios="1" formatRows="0" selectLockedCells="1"/>
  <dataConsolidate/>
  <mergeCells count="311">
    <mergeCell ref="A56:A57"/>
    <mergeCell ref="C56:C57"/>
    <mergeCell ref="D56:D57"/>
    <mergeCell ref="E56:E57"/>
    <mergeCell ref="F56:F57"/>
    <mergeCell ref="G56:G57"/>
    <mergeCell ref="H56:H57"/>
    <mergeCell ref="I56:O56"/>
    <mergeCell ref="I57:O57"/>
    <mergeCell ref="A54:A55"/>
    <mergeCell ref="C54:C55"/>
    <mergeCell ref="D54:D55"/>
    <mergeCell ref="E54:E55"/>
    <mergeCell ref="F54:F55"/>
    <mergeCell ref="G54:G55"/>
    <mergeCell ref="H54:H55"/>
    <mergeCell ref="I54:O54"/>
    <mergeCell ref="I55:O55"/>
    <mergeCell ref="A52:A53"/>
    <mergeCell ref="C52:C53"/>
    <mergeCell ref="D52:D53"/>
    <mergeCell ref="E52:E53"/>
    <mergeCell ref="F52:F53"/>
    <mergeCell ref="G52:G53"/>
    <mergeCell ref="H52:H53"/>
    <mergeCell ref="I52:O52"/>
    <mergeCell ref="I53:O53"/>
    <mergeCell ref="A50:A51"/>
    <mergeCell ref="C50:C51"/>
    <mergeCell ref="D50:D51"/>
    <mergeCell ref="E50:E51"/>
    <mergeCell ref="F50:F51"/>
    <mergeCell ref="G50:G51"/>
    <mergeCell ref="H50:H51"/>
    <mergeCell ref="I50:O50"/>
    <mergeCell ref="I51:O51"/>
    <mergeCell ref="A48:A49"/>
    <mergeCell ref="C48:C49"/>
    <mergeCell ref="D48:D49"/>
    <mergeCell ref="E48:E49"/>
    <mergeCell ref="F48:F49"/>
    <mergeCell ref="G48:G49"/>
    <mergeCell ref="H48:H49"/>
    <mergeCell ref="I48:O48"/>
    <mergeCell ref="I49:O49"/>
    <mergeCell ref="A46:A47"/>
    <mergeCell ref="C46:C47"/>
    <mergeCell ref="D46:D47"/>
    <mergeCell ref="E46:E47"/>
    <mergeCell ref="F46:F47"/>
    <mergeCell ref="G46:G47"/>
    <mergeCell ref="H46:H47"/>
    <mergeCell ref="I46:O46"/>
    <mergeCell ref="I47:O47"/>
    <mergeCell ref="A64:O64"/>
    <mergeCell ref="C65:C66"/>
    <mergeCell ref="D65:D66"/>
    <mergeCell ref="A65:B65"/>
    <mergeCell ref="E65:E66"/>
    <mergeCell ref="I72:O72"/>
    <mergeCell ref="A67:A68"/>
    <mergeCell ref="B67:B68"/>
    <mergeCell ref="C67:C68"/>
    <mergeCell ref="D67:D68"/>
    <mergeCell ref="E67:E68"/>
    <mergeCell ref="A69:A70"/>
    <mergeCell ref="B69:B70"/>
    <mergeCell ref="C69:C70"/>
    <mergeCell ref="D69:D70"/>
    <mergeCell ref="E69:E70"/>
    <mergeCell ref="I65:O66"/>
    <mergeCell ref="F65:F66"/>
    <mergeCell ref="G65:G66"/>
    <mergeCell ref="H65:H66"/>
    <mergeCell ref="I73:O73"/>
    <mergeCell ref="F67:F68"/>
    <mergeCell ref="F69:F70"/>
    <mergeCell ref="F71:F72"/>
    <mergeCell ref="F73:F74"/>
    <mergeCell ref="G67:G68"/>
    <mergeCell ref="G69:G70"/>
    <mergeCell ref="G71:G72"/>
    <mergeCell ref="G73:G74"/>
    <mergeCell ref="H67:H68"/>
    <mergeCell ref="H69:H70"/>
    <mergeCell ref="H71:H72"/>
    <mergeCell ref="H73:H74"/>
    <mergeCell ref="I67:O67"/>
    <mergeCell ref="I68:O68"/>
    <mergeCell ref="I69:O69"/>
    <mergeCell ref="I70:O70"/>
    <mergeCell ref="C40:C41"/>
    <mergeCell ref="D40:D41"/>
    <mergeCell ref="E40:E41"/>
    <mergeCell ref="D42:D43"/>
    <mergeCell ref="C42:C43"/>
    <mergeCell ref="E42:E43"/>
    <mergeCell ref="I34:O35"/>
    <mergeCell ref="F34:F35"/>
    <mergeCell ref="G34:G35"/>
    <mergeCell ref="H34:H35"/>
    <mergeCell ref="H36:H37"/>
    <mergeCell ref="H38:H39"/>
    <mergeCell ref="H40:H41"/>
    <mergeCell ref="H42:H43"/>
    <mergeCell ref="F36:F37"/>
    <mergeCell ref="F38:F39"/>
    <mergeCell ref="F40:F41"/>
    <mergeCell ref="F42:F43"/>
    <mergeCell ref="I40:O40"/>
    <mergeCell ref="I41:O41"/>
    <mergeCell ref="I38:O38"/>
    <mergeCell ref="G40:G41"/>
    <mergeCell ref="I42:O42"/>
    <mergeCell ref="I43:O43"/>
    <mergeCell ref="A38:A39"/>
    <mergeCell ref="D38:D39"/>
    <mergeCell ref="E38:E39"/>
    <mergeCell ref="C36:C37"/>
    <mergeCell ref="D36:D37"/>
    <mergeCell ref="E36:E37"/>
    <mergeCell ref="D31:E31"/>
    <mergeCell ref="L31:M32"/>
    <mergeCell ref="D32:E32"/>
    <mergeCell ref="I39:O39"/>
    <mergeCell ref="I36:O36"/>
    <mergeCell ref="I37:O37"/>
    <mergeCell ref="G36:G37"/>
    <mergeCell ref="G38:G39"/>
    <mergeCell ref="O12:O13"/>
    <mergeCell ref="L12:L13"/>
    <mergeCell ref="A42:A43"/>
    <mergeCell ref="C44:C45"/>
    <mergeCell ref="D44:D45"/>
    <mergeCell ref="E44:E45"/>
    <mergeCell ref="M12:M13"/>
    <mergeCell ref="N12:N13"/>
    <mergeCell ref="B19:D19"/>
    <mergeCell ref="H15:O15"/>
    <mergeCell ref="A33:O33"/>
    <mergeCell ref="A34:B34"/>
    <mergeCell ref="C34:C35"/>
    <mergeCell ref="C38:C39"/>
    <mergeCell ref="D29:K29"/>
    <mergeCell ref="D30:E30"/>
    <mergeCell ref="A40:A41"/>
    <mergeCell ref="L29:O29"/>
    <mergeCell ref="D34:D35"/>
    <mergeCell ref="E34:E35"/>
    <mergeCell ref="A29:C30"/>
    <mergeCell ref="A13:C13"/>
    <mergeCell ref="D13:E13"/>
    <mergeCell ref="A36:A37"/>
    <mergeCell ref="F12:F13"/>
    <mergeCell ref="G12:G13"/>
    <mergeCell ref="A15:E15"/>
    <mergeCell ref="H12:H13"/>
    <mergeCell ref="I12:I13"/>
    <mergeCell ref="K12:K13"/>
    <mergeCell ref="J12:J13"/>
    <mergeCell ref="A14:C14"/>
    <mergeCell ref="D14:E14"/>
    <mergeCell ref="F15:G15"/>
    <mergeCell ref="A12:C12"/>
    <mergeCell ref="D12:E12"/>
    <mergeCell ref="B26:D26"/>
    <mergeCell ref="B27:D27"/>
    <mergeCell ref="B28:D28"/>
    <mergeCell ref="L30:M30"/>
    <mergeCell ref="N31:N32"/>
    <mergeCell ref="O31:O32"/>
    <mergeCell ref="A31:C32"/>
    <mergeCell ref="A1:B5"/>
    <mergeCell ref="C1:E5"/>
    <mergeCell ref="F1:M5"/>
    <mergeCell ref="A6:E6"/>
    <mergeCell ref="G6:H6"/>
    <mergeCell ref="A7:C7"/>
    <mergeCell ref="D7:E7"/>
    <mergeCell ref="A10:C10"/>
    <mergeCell ref="D10:E10"/>
    <mergeCell ref="L10:O11"/>
    <mergeCell ref="D11:E11"/>
    <mergeCell ref="F10:K11"/>
    <mergeCell ref="L7:L9"/>
    <mergeCell ref="M7:M9"/>
    <mergeCell ref="J7:J9"/>
    <mergeCell ref="O7:O9"/>
    <mergeCell ref="A8:C8"/>
    <mergeCell ref="D8:E8"/>
    <mergeCell ref="G7:H7"/>
    <mergeCell ref="K7:K9"/>
    <mergeCell ref="N7:N9"/>
    <mergeCell ref="A9:C9"/>
    <mergeCell ref="D9:E9"/>
    <mergeCell ref="F9:G9"/>
    <mergeCell ref="A11:C11"/>
    <mergeCell ref="F8:G8"/>
    <mergeCell ref="H8:I8"/>
    <mergeCell ref="H9:I9"/>
    <mergeCell ref="Q25:R25"/>
    <mergeCell ref="H16:M17"/>
    <mergeCell ref="B20:D20"/>
    <mergeCell ref="B21:D21"/>
    <mergeCell ref="B22:D22"/>
    <mergeCell ref="B23:D23"/>
    <mergeCell ref="B24:D24"/>
    <mergeCell ref="B25:D25"/>
    <mergeCell ref="F16:G17"/>
    <mergeCell ref="B17:D17"/>
    <mergeCell ref="B16:D16"/>
    <mergeCell ref="L18:O18"/>
    <mergeCell ref="B18:D18"/>
    <mergeCell ref="F18:G18"/>
    <mergeCell ref="H18:K18"/>
    <mergeCell ref="A77:B77"/>
    <mergeCell ref="M77:N77"/>
    <mergeCell ref="A71:A72"/>
    <mergeCell ref="A75:A76"/>
    <mergeCell ref="B75:B76"/>
    <mergeCell ref="C75:C76"/>
    <mergeCell ref="D75:D76"/>
    <mergeCell ref="E75:E76"/>
    <mergeCell ref="B71:B72"/>
    <mergeCell ref="C71:C72"/>
    <mergeCell ref="D71:D72"/>
    <mergeCell ref="E71:E72"/>
    <mergeCell ref="A73:A74"/>
    <mergeCell ref="C73:C74"/>
    <mergeCell ref="D73:D74"/>
    <mergeCell ref="E73:E74"/>
    <mergeCell ref="B73:B74"/>
    <mergeCell ref="I71:O71"/>
    <mergeCell ref="I74:O74"/>
    <mergeCell ref="I75:O75"/>
    <mergeCell ref="I76:O76"/>
    <mergeCell ref="F75:F76"/>
    <mergeCell ref="G75:G76"/>
    <mergeCell ref="H75:H76"/>
    <mergeCell ref="A78:F78"/>
    <mergeCell ref="G78:L78"/>
    <mergeCell ref="A79:D79"/>
    <mergeCell ref="E79:F79"/>
    <mergeCell ref="G79:L79"/>
    <mergeCell ref="A80:D80"/>
    <mergeCell ref="E80:F80"/>
    <mergeCell ref="G80:L80"/>
    <mergeCell ref="A81:D81"/>
    <mergeCell ref="E81:F81"/>
    <mergeCell ref="G81:L81"/>
    <mergeCell ref="G86:L86"/>
    <mergeCell ref="G85:L85"/>
    <mergeCell ref="M87:O88"/>
    <mergeCell ref="M84:O86"/>
    <mergeCell ref="M82:O83"/>
    <mergeCell ref="E86:F86"/>
    <mergeCell ref="G87:K87"/>
    <mergeCell ref="A82:D82"/>
    <mergeCell ref="E82:F82"/>
    <mergeCell ref="G82:L82"/>
    <mergeCell ref="F44:F45"/>
    <mergeCell ref="G42:G43"/>
    <mergeCell ref="G44:G45"/>
    <mergeCell ref="A44:A45"/>
    <mergeCell ref="I44:O44"/>
    <mergeCell ref="I45:O45"/>
    <mergeCell ref="H44:H45"/>
    <mergeCell ref="M89:O91"/>
    <mergeCell ref="A88:F89"/>
    <mergeCell ref="A90:B90"/>
    <mergeCell ref="E90:F90"/>
    <mergeCell ref="A91:B91"/>
    <mergeCell ref="E91:F91"/>
    <mergeCell ref="A87:D87"/>
    <mergeCell ref="E87:F87"/>
    <mergeCell ref="A83:D83"/>
    <mergeCell ref="E83:F83"/>
    <mergeCell ref="G83:L83"/>
    <mergeCell ref="A84:D84"/>
    <mergeCell ref="E84:F84"/>
    <mergeCell ref="G84:L84"/>
    <mergeCell ref="A85:D85"/>
    <mergeCell ref="E85:F85"/>
    <mergeCell ref="A86:D86"/>
    <mergeCell ref="A58:A59"/>
    <mergeCell ref="C58:C59"/>
    <mergeCell ref="D58:D59"/>
    <mergeCell ref="E58:E59"/>
    <mergeCell ref="F58:F59"/>
    <mergeCell ref="G58:G59"/>
    <mergeCell ref="H58:H59"/>
    <mergeCell ref="I58:O58"/>
    <mergeCell ref="I59:O59"/>
    <mergeCell ref="A60:A61"/>
    <mergeCell ref="C60:C61"/>
    <mergeCell ref="D60:D61"/>
    <mergeCell ref="E60:E61"/>
    <mergeCell ref="F60:F61"/>
    <mergeCell ref="G60:G61"/>
    <mergeCell ref="H60:H61"/>
    <mergeCell ref="I60:O60"/>
    <mergeCell ref="I61:O61"/>
    <mergeCell ref="A62:A63"/>
    <mergeCell ref="C62:C63"/>
    <mergeCell ref="D62:D63"/>
    <mergeCell ref="E62:E63"/>
    <mergeCell ref="F62:F63"/>
    <mergeCell ref="G62:G63"/>
    <mergeCell ref="H62:H63"/>
    <mergeCell ref="I62:O62"/>
    <mergeCell ref="I63:O63"/>
  </mergeCells>
  <conditionalFormatting sqref="A77 F8 A7:A9 A11:A13 F6 A79:A80 K6:L6">
    <cfRule type="expression" dxfId="21" priority="28">
      <formula>IF(OR($D$13="DRILLING",$D$13="COMPLETION",$D$13="WORKOVER",$D$13="WELL TESTING"),TRUE)</formula>
    </cfRule>
  </conditionalFormatting>
  <conditionalFormatting sqref="A8 A11 A13 F6 A79:A80">
    <cfRule type="expression" dxfId="20" priority="29">
      <formula>IF(AND($D$13&lt;&gt;"DRILLING",$D$13&lt;&gt;"WORKOVER",$D$13&lt;&gt;"COMPLETION",$D$13&lt;&gt;"WELL TESTING",$D$13&lt;&gt;""),TRUE)</formula>
    </cfRule>
  </conditionalFormatting>
  <conditionalFormatting sqref="D77">
    <cfRule type="expression" dxfId="19" priority="26">
      <formula>IF(OR(SUM($D77:$L77)=$AN$24,AND(D77="",F77="",H77="",J77="",L77="")),TRUE,FALSE)</formula>
    </cfRule>
    <cfRule type="expression" dxfId="18" priority="27">
      <formula>IF(AND(SUM($D77:$L77)&lt;&gt;$AN$24,OR(D77&lt;&gt;"",F77&lt;&gt;"",H77&lt;&gt;"",J77&lt;&gt;"",L77&lt;&gt;"")),TRUE,FALSE)</formula>
    </cfRule>
  </conditionalFormatting>
  <conditionalFormatting sqref="F77">
    <cfRule type="expression" dxfId="17" priority="24">
      <formula>IF(AND(SUM($D77:$L77)&lt;&gt;$AN$24,OR(D77&lt;&gt;"",F77&lt;&gt;"",H77&lt;&gt;"",J77&lt;&gt;"",L77&lt;&gt;"")),TRUE,FALSE)</formula>
    </cfRule>
    <cfRule type="expression" dxfId="16" priority="25">
      <formula>IF(OR(SUM($D77:$L77)=$AN$24,AND(D77="",F77="",H77="",J77="",L77="")),TRUE,FALSE)</formula>
    </cfRule>
  </conditionalFormatting>
  <conditionalFormatting sqref="H77">
    <cfRule type="expression" dxfId="15" priority="22">
      <formula>IF(AND(SUM($D77:$L77)&lt;&gt;$AN$24,OR(D77&lt;&gt;"",F77&lt;&gt;"",H77&lt;&gt;"",J77&lt;&gt;"",L77&lt;&gt;"")),TRUE,FALSE)</formula>
    </cfRule>
    <cfRule type="expression" dxfId="14" priority="23">
      <formula>IF(OR(SUM($D77:$L77)=$AN$24,AND(D77="",F77="",H77="",J77="",L77="")),TRUE,FALSE)</formula>
    </cfRule>
  </conditionalFormatting>
  <conditionalFormatting sqref="J77">
    <cfRule type="expression" dxfId="13" priority="20">
      <formula>IF(AND(SUM($D77:$L77)&lt;&gt;$AN$24,OR(D77&lt;&gt;"",F77&lt;&gt;"",H77&lt;&gt;"",J77&lt;&gt;"",L77&lt;&gt;"")),TRUE,FALSE)</formula>
    </cfRule>
    <cfRule type="expression" dxfId="12" priority="21">
      <formula>IF(OR(SUM($D77:$L77)=$AN$24,AND(D77="",F77="",H77="",J77="",L77="")),TRUE,FALSE)</formula>
    </cfRule>
  </conditionalFormatting>
  <conditionalFormatting sqref="L77">
    <cfRule type="expression" dxfId="11" priority="18">
      <formula>IF(OR(SUM($D77:$L77)=$AN$24,AND(D77="",F77="",H77="",J77="",L77="")),TRUE,FALSE)</formula>
    </cfRule>
    <cfRule type="expression" dxfId="10" priority="19">
      <formula>IF(AND(SUM($D77:$L77)&lt;&gt;$AN$24,OR(D77&lt;&gt;"",F77&lt;&gt;"",H77&lt;&gt;"",J77&lt;&gt;"",L77&lt;&gt;"")),TRUE,FALSE)</formula>
    </cfRule>
  </conditionalFormatting>
  <conditionalFormatting sqref="H89">
    <cfRule type="expression" dxfId="9" priority="17">
      <formula>IF($AN$4=2,TRUE,FALSE)</formula>
    </cfRule>
  </conditionalFormatting>
  <conditionalFormatting sqref="I89">
    <cfRule type="expression" dxfId="8" priority="16">
      <formula>IF($AN$4=2,TRUE)</formula>
    </cfRule>
  </conditionalFormatting>
  <conditionalFormatting sqref="J89">
    <cfRule type="expression" dxfId="7" priority="15">
      <formula>IF($AN$4=2,TRUE)</formula>
    </cfRule>
  </conditionalFormatting>
  <conditionalFormatting sqref="K89">
    <cfRule type="expression" dxfId="6" priority="14">
      <formula>IF($AN$4=2,TRUE)</formula>
    </cfRule>
  </conditionalFormatting>
  <conditionalFormatting sqref="L89">
    <cfRule type="expression" dxfId="5" priority="13">
      <formula>IF($AN$4=1,TRUE)</formula>
    </cfRule>
  </conditionalFormatting>
  <conditionalFormatting sqref="H91">
    <cfRule type="expression" dxfId="4" priority="12">
      <formula>IF($AN$4=2,TRUE)</formula>
    </cfRule>
  </conditionalFormatting>
  <conditionalFormatting sqref="I91">
    <cfRule type="expression" dxfId="3" priority="11">
      <formula>IF($AN$4=2,TRUE)</formula>
    </cfRule>
  </conditionalFormatting>
  <conditionalFormatting sqref="J91">
    <cfRule type="expression" dxfId="2" priority="10">
      <formula>IF($AN$4=2,TRUE)</formula>
    </cfRule>
  </conditionalFormatting>
  <conditionalFormatting sqref="K91">
    <cfRule type="expression" dxfId="1" priority="9">
      <formula>IF($AN$4=2,TRUE)</formula>
    </cfRule>
  </conditionalFormatting>
  <conditionalFormatting sqref="L91">
    <cfRule type="expression" dxfId="0" priority="8">
      <formula>IF($AN$4=1,TRUE)</formula>
    </cfRule>
  </conditionalFormatting>
  <dataValidations count="38">
    <dataValidation type="custom" showInputMessage="1" showErrorMessage="1" errorTitle="Error message" error="Insertion error. One of the followings occured:_x000a_1) Date format not correct_x000a_2) Start Date is less than End Date_x000a_3) Start Date is greater than DDR Date_x000a_" sqref="F9:G9">
      <formula1>IF($AN$8=TRUE,TRUE,FALSE)</formula1>
    </dataValidation>
    <dataValidation type="custom" showInputMessage="1" showErrorMessage="1" errorTitle="Error message" error="Insertion error. One of the followings occured:_x000a_1) Date format not correct_x000a_2) End date is greater than Start Date _x000a_3) End Date is less than DDR Date" sqref="H9:I9">
      <formula1>IF($AN$9=TRUE,TRUE,FALSE)</formula1>
    </dataValidation>
    <dataValidation type="decimal" operator="greaterThanOrEqual" allowBlank="1" showInputMessage="1" showErrorMessage="1" errorTitle="Error message" error="Please, insert a number!" sqref="J7:J9 M14:N14">
      <formula1>-10000000000000000</formula1>
    </dataValidation>
    <dataValidation type="custom" allowBlank="1" showInputMessage="1" showErrorMessage="1" errorTitle="Error message" error="Insertion error. One of the followings occured:_x000a_1) Date format not correct _x000a_2) Last LTI Date is greater than DDR Date" sqref="E80:F80">
      <formula1>IF($AN$10=TRUE,TRUE,FALSE)</formula1>
    </dataValidation>
    <dataValidation type="custom" allowBlank="1" showInputMessage="1" showErrorMessage="1" errorTitle="Error message" error="Insertion error. One of the followings occured:_x000a_1) Date format not correct_x000a_2) DDR Date is less than Well Start Date _x000a_3) DDR Date is less than Last LTI Date _x000a_4) DDR Date is greater than Well End Date" sqref="F7">
      <formula1>IF($AN$7=TRUE,TRUE,FALSE)</formula1>
    </dataValidation>
    <dataValidation type="custom" operator="greaterThanOrEqual" allowBlank="1" showInputMessage="1" showErrorMessage="1" errorTitle="Error message" error="One of this following error has occured:_x000a_1) Type format not correct_x000a_2) DMS is selected" sqref="L89">
      <formula1>IF($AN$4=2,IF(AND(L89&gt;=-90,L89&lt;=90),TRUE,FALSE),Z1)</formula1>
    </dataValidation>
    <dataValidation type="custom" operator="greaterThanOrEqual" allowBlank="1" showInputMessage="1" showErrorMessage="1" errorTitle="Error message" error="One of this following error has occured:_x000a_1) Type format not correct _x000a_2) Are selected DECIMAL" sqref="K91">
      <formula1>IF($AN$4=1,IF(AND(K91&gt;=0,K91&lt;=59.9999),TRUE,FALSE),FALSE)</formula1>
    </dataValidation>
    <dataValidation type="custom" operator="greaterThanOrEqual" allowBlank="1" showInputMessage="1" showErrorMessage="1" errorTitle="Error message" error="One of this following error has occured:_x000a_1) Type format not correct_x000a_2) DMS is selected" sqref="L91">
      <formula1>IF($AN$4=2,IF(AND(L91&gt;=-180,L91&lt;=180),TRUE,FALSE),FALSE)</formula1>
    </dataValidation>
    <dataValidation type="list" allowBlank="1" showInputMessage="1" showErrorMessage="1" errorTitle="Error message" error="One of this following error has occured:_x000a_1) Type format not correct _x000a_2) DECIMAL is selected" sqref="H89">
      <formula1>IF($AN$4=1,$AN$11:$AN$12)</formula1>
    </dataValidation>
    <dataValidation type="list" allowBlank="1" showInputMessage="1" showErrorMessage="1" errorTitle="Error message" error="One of this following error has occured:_x000a_1) Type format not correct _x000a_2) DECIMAL is selected" sqref="H91">
      <formula1>IF($AN$4=1,$AN$13:$AN$14)</formula1>
    </dataValidation>
    <dataValidation type="custom" operator="greaterThanOrEqual" allowBlank="1" showInputMessage="1" showErrorMessage="1" errorTitle="Error message" error="One of this following error has occured:_x000a_1) Type format not correct _x000a_2) DECIMAL is selected_x000a_" sqref="I89">
      <formula1>IF($AN$4=1,IF(AND(I89&gt;=0,I89&lt;=89),TRUE,FALSE),FALSE)</formula1>
    </dataValidation>
    <dataValidation type="custom" operator="greaterThanOrEqual" allowBlank="1" showInputMessage="1" showErrorMessage="1" errorTitle="Error message" error="One of this following error has occured:_x000a_1) Type format not correct _x000a_2) DECIMAL is selected" sqref="K89">
      <formula1>IF($AN$4=1,IF(AND(K89&gt;=0,K89&lt;=59.9999),TRUE,FALSE),FALSE)</formula1>
    </dataValidation>
    <dataValidation type="decimal" allowBlank="1" showInputMessage="1" showErrorMessage="1" errorTitle="Error message" error="Please, insert a positive number!" sqref="L14 K7:L9 N7:O9 G27:G28 O14 O16:O17 I20:I28 K20:L28 I31:K32 F14:I14 N31:O32">
      <formula1>0</formula1>
      <formula2>100000000000000000</formula2>
    </dataValidation>
    <dataValidation type="decimal" allowBlank="1" showInputMessage="1" showErrorMessage="1" errorTitle="Error message" error="Please, insert a positive number!" sqref="E79:F79 A91:F91 M79:O79 M81:O81 E82:F86">
      <formula1>0</formula1>
      <formula2>10000000000000000000</formula2>
    </dataValidation>
    <dataValidation type="custom" allowBlank="1" showInputMessage="1" showErrorMessage="1" errorTitle="Error message" error="Please, insert a correct date " sqref="A31:C32">
      <formula1>IF(AND(A31&gt;$AN$21,A31&lt;=$AN$22),TRUE,FALSE)</formula1>
    </dataValidation>
    <dataValidation type="custom" operator="greaterThanOrEqual" allowBlank="1" showInputMessage="1" showErrorMessage="1" errorTitle="Error message" error="One of this following error has occured:_x000a_1) Type format not correct _x000a_2) DECIMAL is selected" sqref="I91">
      <formula1>IF($AN$4=1,IF(AND(I91&gt;=0,I91&lt;=179),TRUE,FALSE),FALSE)</formula1>
    </dataValidation>
    <dataValidation type="custom" operator="greaterThanOrEqual" allowBlank="1" showInputMessage="1" showErrorMessage="1" errorTitle="Error message" error="One of this following error has occured:_x000a_1) Type format not correct_x000a_2) DECIMAL is selected" sqref="J91">
      <formula1>IF($AN$4=1,IF(AND(J91&gt;=0,J91&lt;=59),TRUE,FALSE),FALSE)</formula1>
    </dataValidation>
    <dataValidation type="custom" operator="greaterThanOrEqual" allowBlank="1" showInputMessage="1" showErrorMessage="1" errorTitle="Error message" error="One of this following error has occured:_x000a_1) Type format not correct _x000a_2) DECIMAL is selected" sqref="J89">
      <formula1>IF($AN$4=1,IF(AND(J89&gt;=0,J89&lt;=59),TRUE,FALSE),FALSE)</formula1>
    </dataValidation>
    <dataValidation type="decimal" allowBlank="1" showInputMessage="1" showErrorMessage="1" errorTitle="Error message" error="Please, insert a positive number!" sqref="D12:E12">
      <formula1>0</formula1>
      <formula2>100000000000000000000</formula2>
    </dataValidation>
    <dataValidation type="custom" showInputMessage="1" showErrorMessage="1" errorTitle="Error message" error="Insertion error. One of the followings occured:_x000a_1) Time format not correct! (Format hh:mm)_x000a_2) Finish time is greater than the next record value" sqref="B67:B68 B36:B37">
      <formula1>IF(AND(B36&gt;$AN$23,B36&lt;=$AN$24),IF(B38&lt;&gt;"",IF(B36&lt;B38,TRUE,FALSE),TRUE),FALSE)</formula1>
    </dataValidation>
    <dataValidation type="custom" allowBlank="1" showInputMessage="1" showErrorMessage="1" errorTitle="Error message" error="Insertion error. A valid finish time must be inserted in order to fill in the operation description." sqref="I67:I68">
      <formula1>IF(F$36&lt;&gt;"",TRUE,FALSE)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69:I70">
      <formula1>IF(F$38&lt;&gt;"",TRUE,FALSE)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75:I76">
      <formula1>IF(INDIRECT($AU1)&lt;&gt;"",TRUE,FALSE)</formula1>
    </dataValidation>
    <dataValidation type="custom" operator="greaterThanOrEqual" allowBlank="1" showInputMessage="1" showErrorMessage="1" errorTitle="Error message" error="Insertion error. Time format not correct!(Format hh:mm)_x000a_" sqref="L77 F77 H77 J77 D77">
      <formula1>IF(AND(D77&gt;=$AN$23,D77&lt;=$AN$24),TRUE,FALSE)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71:I72">
      <formula1>IF(F$40&lt;&gt;"",TRUE,FALSE)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73:I74">
      <formula1>IF(F$42&lt;&gt;"",TRUE,FALSE)</formula1>
    </dataValidation>
    <dataValidation type="decimal" allowBlank="1" showInputMessage="1" showErrorMessage="1" errorTitle="Error message" error="Insertion error. A valid finish time must be inserted in order to fill in the operation description." sqref="G36:H39 G44:H63">
      <formula1>0</formula1>
      <formula2>100000000000000000</formula2>
    </dataValidation>
    <dataValidation type="decimal" allowBlank="1" showInputMessage="1" showErrorMessage="1" sqref="G40:H43 G67:H76">
      <formula1>0</formula1>
      <formula2>100000000000000000</formula2>
    </dataValidation>
    <dataValidation type="list" allowBlank="1" showInputMessage="1" showErrorMessage="1" sqref="F36:F63">
      <formula1>INDIRECT($AX36)</formula1>
    </dataValidation>
    <dataValidation type="list" allowBlank="1" showInputMessage="1" showErrorMessage="1" sqref="F67:F76">
      <formula1>INDIRECT(AY791)</formula1>
    </dataValidation>
    <dataValidation type="custom" allowBlank="1" showInputMessage="1" showErrorMessage="1" errorTitle="Error message" error="Insertion error. A valid finish time must be inserted in order to fill in the operation description." sqref="I36:O36">
      <formula1>IF(C$36&lt;&gt;"",TRUE,FALSE)</formula1>
    </dataValidation>
    <dataValidation type="custom" allowBlank="1" showInputMessage="1" showErrorMessage="1" errorTitle="Error message" error=" Insertion error. A valid finish time must be inserted in order to fill in the operation description." sqref="I37:O37">
      <formula1>IF(C$36&lt;&gt;"",TRUE,FALSE)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38:O39">
      <formula1>IF(C$38&lt;&gt;"",TRUE,FALSE)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40:O41">
      <formula1>IF(C$40&lt;&gt;"",TRUE,FALSE)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42:O43">
      <formula1>IF(C$42&lt;&gt;"",TRUE,FALSE)</formula1>
    </dataValidation>
    <dataValidation type="custom" allowBlank="1" showInputMessage="1" showErrorMessage="1" errorTitle="Error message" error="Insertion error. A valid finish time must be inserted in order to fill in the operation description." sqref="I44:O63">
      <formula1>IF(C$44&lt;&gt;"",TRUE,FALSE)</formula1>
    </dataValidation>
    <dataValidation type="custom" showInputMessage="1" showErrorMessage="1" errorTitle="Error message" error="Insertion error. One of the followings occured:_x000a_1) Time format not correct (Format hh:mm)_x000a_2) Finish time is less than previous record value_x000a_3) The previous row is not populated_x000a_4) Finish time is greater than next record value" sqref="B38:B43 B69:B74">
      <formula1>IF(AND(AND($B38&gt;$B36,$B38&lt;=$AN$24),$B36&lt;&gt;""),IF(B40&lt;&gt;"",IF(B38&lt;B40,TRUE,FALSE),TRUE),FALSE)</formula1>
    </dataValidation>
    <dataValidation type="custom" showInputMessage="1" showErrorMessage="1" errorTitle="Error message" error="Insertion error. One of the followings occured:_x000a_1) Time format not correct (Format hh:mm)_x000a_2) Finish time is less than previous record value_x000a_3) The previous row is not populated_x000a_4) Finish time is greater than next record value" sqref="B75:B76">
      <formula1>IF(AND(AND($B75&gt;$B73,$B75&lt;=$AN$24),$B73&lt;&gt;""),IF(INDIRECT($AT1)&lt;&gt;"RATE BREAKDOWN [hh:mm]",IF(INDIRECT($AS1)&lt;&gt;"",IF(B75&lt;INDIRECT($AS1),TRUE,FALSE),TRUE),TRUE),FALSE)</formula1>
    </dataValidation>
  </dataValidations>
  <pageMargins left="0.23622047244094491" right="0.23622047244094491" top="0.74803149606299213" bottom="0.74803149606299213" header="0.31496062992125984" footer="0.31496062992125984"/>
  <pageSetup paperSize="9"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Option Button 5">
              <controlPr defaultSize="0" autoFill="0" autoLine="0" autoPict="0">
                <anchor moveWithCells="1" sizeWithCells="1">
                  <from>
                    <xdr:col>9</xdr:col>
                    <xdr:colOff>152400</xdr:colOff>
                    <xdr:row>6</xdr:row>
                    <xdr:rowOff>123825</xdr:rowOff>
                  </from>
                  <to>
                    <xdr:col>9</xdr:col>
                    <xdr:colOff>847725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Option Button 6">
              <controlPr defaultSize="0" autoFill="0" autoLine="0" autoPict="0">
                <anchor moveWithCells="1" sizeWithCells="1">
                  <from>
                    <xdr:col>9</xdr:col>
                    <xdr:colOff>152400</xdr:colOff>
                    <xdr:row>7</xdr:row>
                    <xdr:rowOff>276225</xdr:rowOff>
                  </from>
                  <to>
                    <xdr:col>9</xdr:col>
                    <xdr:colOff>885825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Group Box 9">
              <controlPr defaultSize="0" autoFill="0" autoPict="0">
                <anchor moveWithCells="1">
                  <from>
                    <xdr:col>9</xdr:col>
                    <xdr:colOff>66675</xdr:colOff>
                    <xdr:row>6</xdr:row>
                    <xdr:rowOff>47625</xdr:rowOff>
                  </from>
                  <to>
                    <xdr:col>10</xdr:col>
                    <xdr:colOff>57150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7" name="Group Box 10">
              <controlPr defaultSize="0" autoFill="0" autoPict="0">
                <anchor moveWithCells="1">
                  <from>
                    <xdr:col>11</xdr:col>
                    <xdr:colOff>76200</xdr:colOff>
                    <xdr:row>86</xdr:row>
                    <xdr:rowOff>152400</xdr:rowOff>
                  </from>
                  <to>
                    <xdr:col>12</xdr:col>
                    <xdr:colOff>76200</xdr:colOff>
                    <xdr:row>87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8" name="Option Button 23">
              <controlPr defaultSize="0" autoFill="0" autoLine="0" autoPict="0">
                <anchor moveWithCells="1">
                  <from>
                    <xdr:col>11</xdr:col>
                    <xdr:colOff>114300</xdr:colOff>
                    <xdr:row>86</xdr:row>
                    <xdr:rowOff>171450</xdr:rowOff>
                  </from>
                  <to>
                    <xdr:col>11</xdr:col>
                    <xdr:colOff>742950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9" name="Option Button 24">
              <controlPr defaultSize="0" autoFill="0" autoLine="0" autoPict="0">
                <anchor moveWithCells="1">
                  <from>
                    <xdr:col>11</xdr:col>
                    <xdr:colOff>114300</xdr:colOff>
                    <xdr:row>87</xdr:row>
                    <xdr:rowOff>19050</xdr:rowOff>
                  </from>
                  <to>
                    <xdr:col>12</xdr:col>
                    <xdr:colOff>76200</xdr:colOff>
                    <xdr:row>87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Error message" error="Country not valid!">
          <x14:formula1>
            <xm:f>'Country Master Data'!$A$2:$A$400</xm:f>
          </x14:formula1>
          <xm:sqref>D8:E8</xm:sqref>
        </x14:dataValidation>
        <x14:dataValidation type="list" allowBlank="1" showInputMessage="1" showErrorMessage="1" errorTitle="Error message" error="Weather sky not valid!">
          <x14:formula1>
            <xm:f>'ANAGRAFICA WEATHER SKY'!$A$3:$A$7</xm:f>
          </x14:formula1>
          <xm:sqref>E87:F87</xm:sqref>
        </x14:dataValidation>
        <x14:dataValidation type="list" allowBlank="1" showInputMessage="1" showErrorMessage="1" errorTitle="Error message" error="RIG not valid!">
          <x14:formula1>
            <xm:f>'Rig Master Data'!$A$2:$A$268</xm:f>
          </x14:formula1>
          <xm:sqref>D11:E11</xm:sqref>
        </x14:dataValidation>
        <x14:dataValidation type="list" allowBlank="1" showInputMessage="1" showErrorMessage="1" errorTitle="Error message" error="Status not valid!">
          <x14:formula1>
            <xm:f>'ANAGRAFICA STATUS'!$A$2:$A$9</xm:f>
          </x14:formula1>
          <xm:sqref>D13:E13</xm:sqref>
        </x14:dataValidation>
        <x14:dataValidation type="list" allowBlank="1" showInputMessage="1" showErrorMessage="1" errorTitle="Error message" error="Code not valid!">
          <x14:formula1>
            <xm:f>'ANAGRAFICA CODE'!$A$3:$A$32</xm:f>
          </x14:formula1>
          <xm:sqref>E36:E63 E67:E76</xm:sqref>
        </x14:dataValidation>
        <x14:dataValidation type="custom" showInputMessage="1" showErrorMessage="1" errorTitle="Error message" error="Insertion error. One of the followings occured:_x000a_1) Time format not correct (Format hh:mm)_x000a_2) Finish time is less than previous record value_x000a_3) The previous row is not populated_x000a_4) Finish time is greater than next record value">
          <x14:formula1>
            <xm:f>IF(AND(AND($B44&gt;$B42,$B44&lt;=$AN$24),$B42&lt;&gt;""),IF(INDIRECT(Controls!$AP1)&lt;&gt;"RIG B",IF(INDIRECT(Controls!$AO1)&lt;&gt;"",IF(B44&lt;INDIRECT(Controls!$AO1),TRUE,FALSE),TRUE),TRUE),FALSE)</xm:f>
          </x14:formula1>
          <xm:sqref>B44:B63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O1:AU87"/>
  <sheetViews>
    <sheetView topLeftCell="X1" workbookViewId="0">
      <selection activeCell="AP72" sqref="AP72"/>
    </sheetView>
  </sheetViews>
  <sheetFormatPr baseColWidth="10" defaultColWidth="9.140625" defaultRowHeight="12.75"/>
  <sheetData>
    <row r="1" spans="41:47">
      <c r="AO1" t="s">
        <v>478</v>
      </c>
      <c r="AP1" t="s">
        <v>488</v>
      </c>
      <c r="AQ1" t="s">
        <v>498</v>
      </c>
      <c r="AS1" t="str">
        <f>CONCATENATE("B",SUM(AN28,15))</f>
        <v>B15</v>
      </c>
      <c r="AT1" t="str">
        <f>CONCATENATE("A",SUM(AN28,15))</f>
        <v>A15</v>
      </c>
      <c r="AU1" t="str">
        <f>CONCATENATE("C$",SUM(AN28,13))</f>
        <v>C$13</v>
      </c>
    </row>
    <row r="2" spans="41:47">
      <c r="AQ2" t="s">
        <v>498</v>
      </c>
      <c r="AU2" t="str">
        <f>CONCATENATE("C$",SUM(AN28,13))</f>
        <v>C$13</v>
      </c>
    </row>
    <row r="3" spans="41:47">
      <c r="AO3" t="s">
        <v>479</v>
      </c>
      <c r="AP3" t="s">
        <v>489</v>
      </c>
      <c r="AQ3" t="s">
        <v>499</v>
      </c>
      <c r="AS3" t="str">
        <f>CONCATENATE("B",SUM(AN28,17))</f>
        <v>B17</v>
      </c>
      <c r="AT3" t="str">
        <f>CONCATENATE("A",SUM(AN28,17))</f>
        <v>A17</v>
      </c>
      <c r="AU3" t="str">
        <f>CONCATENATE("C$",SUM(AN28,15))</f>
        <v>C$15</v>
      </c>
    </row>
    <row r="4" spans="41:47">
      <c r="AQ4" t="s">
        <v>499</v>
      </c>
      <c r="AU4" t="str">
        <f>CONCATENATE("C$",SUM(AN28,15))</f>
        <v>C$15</v>
      </c>
    </row>
    <row r="5" spans="41:47">
      <c r="AO5" t="s">
        <v>480</v>
      </c>
      <c r="AP5" t="s">
        <v>490</v>
      </c>
      <c r="AQ5" t="s">
        <v>500</v>
      </c>
      <c r="AS5" t="str">
        <f>CONCATENATE("B",SUM(AN28,19))</f>
        <v>B19</v>
      </c>
      <c r="AT5" t="str">
        <f>CONCATENATE("A",SUM(AN28,19))</f>
        <v>A19</v>
      </c>
      <c r="AU5" t="str">
        <f>CONCATENATE("C$",SUM(AN28,17))</f>
        <v>C$17</v>
      </c>
    </row>
    <row r="6" spans="41:47">
      <c r="AQ6" t="s">
        <v>500</v>
      </c>
      <c r="AU6" t="str">
        <f>CONCATENATE("C$",SUM(AN28,17))</f>
        <v>C$17</v>
      </c>
    </row>
    <row r="7" spans="41:47">
      <c r="AO7" t="s">
        <v>481</v>
      </c>
      <c r="AP7" t="s">
        <v>491</v>
      </c>
      <c r="AQ7" t="s">
        <v>501</v>
      </c>
      <c r="AS7" t="str">
        <f>CONCATENATE("B",SUM(AN28,21))</f>
        <v>B21</v>
      </c>
      <c r="AT7" t="str">
        <f>CONCATENATE("A",SUM(AN28,21))</f>
        <v>A21</v>
      </c>
      <c r="AU7" t="str">
        <f>CONCATENATE("C$",SUM(AN28,19))</f>
        <v>C$19</v>
      </c>
    </row>
    <row r="8" spans="41:47">
      <c r="AQ8" t="s">
        <v>501</v>
      </c>
      <c r="AU8" t="str">
        <f>CONCATENATE("C$",SUM(AN28,19))</f>
        <v>C$19</v>
      </c>
    </row>
    <row r="9" spans="41:47">
      <c r="AO9" t="s">
        <v>482</v>
      </c>
      <c r="AP9" t="s">
        <v>492</v>
      </c>
      <c r="AQ9" t="s">
        <v>502</v>
      </c>
      <c r="AS9" t="str">
        <f>CONCATENATE("B",SUM(AN28,23))</f>
        <v>B23</v>
      </c>
      <c r="AT9" t="str">
        <f>CONCATENATE("A",SUM(AN28,23))</f>
        <v>A23</v>
      </c>
      <c r="AU9" t="str">
        <f>CONCATENATE("C$",SUM(AN28,21))</f>
        <v>C$21</v>
      </c>
    </row>
    <row r="10" spans="41:47">
      <c r="AQ10" t="s">
        <v>502</v>
      </c>
      <c r="AU10" t="str">
        <f>CONCATENATE("C$",SUM(AN28,21))</f>
        <v>C$21</v>
      </c>
    </row>
    <row r="11" spans="41:47">
      <c r="AO11" t="s">
        <v>483</v>
      </c>
      <c r="AP11" t="s">
        <v>493</v>
      </c>
      <c r="AQ11" t="s">
        <v>503</v>
      </c>
      <c r="AS11" t="str">
        <f>CONCATENATE("B",SUM(AN28,25))</f>
        <v>B25</v>
      </c>
      <c r="AT11" t="str">
        <f>CONCATENATE("A",SUM(AN28,25))</f>
        <v>A25</v>
      </c>
      <c r="AU11" t="str">
        <f>CONCATENATE("C$",SUM(AN28,23))</f>
        <v>C$23</v>
      </c>
    </row>
    <row r="12" spans="41:47">
      <c r="AQ12" t="s">
        <v>503</v>
      </c>
      <c r="AU12" t="str">
        <f>CONCATENATE("C$",SUM(AN28,23))</f>
        <v>C$23</v>
      </c>
    </row>
    <row r="13" spans="41:47">
      <c r="AO13" t="s">
        <v>447</v>
      </c>
      <c r="AP13" t="s">
        <v>448</v>
      </c>
      <c r="AQ13" t="s">
        <v>449</v>
      </c>
      <c r="AS13" t="str">
        <f>CONCATENATE("B",SUM(AN28,27))</f>
        <v>B27</v>
      </c>
      <c r="AT13" t="str">
        <f>CONCATENATE("A",SUM(AN28,27))</f>
        <v>A27</v>
      </c>
      <c r="AU13" t="str">
        <f>CONCATENATE("C$",SUM(AN28,25))</f>
        <v>C$25</v>
      </c>
    </row>
    <row r="14" spans="41:47">
      <c r="AQ14" t="s">
        <v>449</v>
      </c>
      <c r="AU14" t="str">
        <f>CONCATENATE("C$",SUM(AN28,25))</f>
        <v>C$25</v>
      </c>
    </row>
    <row r="15" spans="41:47">
      <c r="AO15" t="s">
        <v>531</v>
      </c>
      <c r="AP15" s="34" t="s">
        <v>860</v>
      </c>
      <c r="AQ15" t="s">
        <v>450</v>
      </c>
      <c r="AS15" t="str">
        <f>CONCATENATE("B",SUM(AN28,29))</f>
        <v>B29</v>
      </c>
      <c r="AT15" t="str">
        <f>CONCATENATE("A",SUM(AN28,29))</f>
        <v>A29</v>
      </c>
      <c r="AU15" t="str">
        <f>CONCATENATE("C$",SUM(AN28,27))</f>
        <v>C$27</v>
      </c>
    </row>
    <row r="16" spans="41:47">
      <c r="AQ16" t="s">
        <v>450</v>
      </c>
      <c r="AU16" t="str">
        <f>CONCATENATE("C$",SUM(AN28,27))</f>
        <v>C$27</v>
      </c>
    </row>
    <row r="17" spans="41:47">
      <c r="AO17" t="s">
        <v>451</v>
      </c>
      <c r="AP17" t="s">
        <v>452</v>
      </c>
      <c r="AQ17" t="s">
        <v>453</v>
      </c>
      <c r="AS17" t="str">
        <f>CONCATENATE("B",SUM(AN28,31))</f>
        <v>B31</v>
      </c>
      <c r="AT17" t="str">
        <f>CONCATENATE("A",SUM(AN28,31))</f>
        <v>A31</v>
      </c>
      <c r="AU17" t="str">
        <f>CONCATENATE("C$",SUM(AN28,29))</f>
        <v>C$29</v>
      </c>
    </row>
    <row r="18" spans="41:47">
      <c r="AQ18" t="s">
        <v>453</v>
      </c>
      <c r="AU18" t="str">
        <f>CONCATENATE("C$",SUM(AN28,29))</f>
        <v>C$29</v>
      </c>
    </row>
    <row r="19" spans="41:47">
      <c r="AO19" t="s">
        <v>454</v>
      </c>
      <c r="AP19" t="s">
        <v>494</v>
      </c>
      <c r="AQ19" t="s">
        <v>455</v>
      </c>
      <c r="AS19" t="str">
        <f>CONCATENATE("B",SUM(AN28,33))</f>
        <v>B33</v>
      </c>
      <c r="AT19" t="str">
        <f>CONCATENATE("A",SUM(AN28,33))</f>
        <v>A33</v>
      </c>
      <c r="AU19" t="str">
        <f>CONCATENATE("C$",SUM(AN28,31))</f>
        <v>C$31</v>
      </c>
    </row>
    <row r="20" spans="41:47">
      <c r="AQ20" t="s">
        <v>455</v>
      </c>
      <c r="AU20" t="str">
        <f>CONCATENATE("C$",SUM(AN28,31))</f>
        <v>C$31</v>
      </c>
    </row>
    <row r="21" spans="41:47">
      <c r="AO21" t="s">
        <v>456</v>
      </c>
      <c r="AP21" t="s">
        <v>495</v>
      </c>
      <c r="AQ21" t="s">
        <v>457</v>
      </c>
      <c r="AS21" t="str">
        <f>CONCATENATE("B",SUM(AN28,35))</f>
        <v>B35</v>
      </c>
      <c r="AT21" t="str">
        <f>CONCATENATE("A",SUM(AN28,35))</f>
        <v>A35</v>
      </c>
      <c r="AU21" t="str">
        <f>CONCATENATE("C$",SUM(AN28,33))</f>
        <v>C$33</v>
      </c>
    </row>
    <row r="22" spans="41:47">
      <c r="AQ22" t="s">
        <v>457</v>
      </c>
      <c r="AU22" t="str">
        <f>CONCATENATE("C$",SUM(AN28,33))</f>
        <v>C$33</v>
      </c>
    </row>
    <row r="23" spans="41:47">
      <c r="AO23" t="s">
        <v>458</v>
      </c>
      <c r="AP23" t="s">
        <v>496</v>
      </c>
      <c r="AQ23" t="s">
        <v>504</v>
      </c>
      <c r="AS23" t="str">
        <f>CONCATENATE("B",SUM(AN28,37))</f>
        <v>B37</v>
      </c>
      <c r="AT23" t="str">
        <f>CONCATENATE("A",SUM(AN28,37))</f>
        <v>A37</v>
      </c>
      <c r="AU23" t="str">
        <f>CONCATENATE("C$",SUM(AN28,35))</f>
        <v>C$35</v>
      </c>
    </row>
    <row r="24" spans="41:47">
      <c r="AQ24" t="s">
        <v>459</v>
      </c>
      <c r="AU24" t="str">
        <f>CONCATENATE("C$",SUM(AN28,35))</f>
        <v>C$35</v>
      </c>
    </row>
    <row r="25" spans="41:47">
      <c r="AO25" t="s">
        <v>460</v>
      </c>
      <c r="AP25" t="s">
        <v>497</v>
      </c>
      <c r="AQ25" t="s">
        <v>461</v>
      </c>
      <c r="AS25" t="str">
        <f>CONCATENATE("B",SUM(AN28,39))</f>
        <v>B39</v>
      </c>
      <c r="AT25" t="str">
        <f>CONCATENATE("A",SUM(AN28,39))</f>
        <v>A39</v>
      </c>
      <c r="AU25" t="str">
        <f>CONCATENATE("C$",SUM(AN28,37))</f>
        <v>C$37</v>
      </c>
    </row>
    <row r="26" spans="41:47">
      <c r="AQ26" t="s">
        <v>461</v>
      </c>
      <c r="AU26" t="str">
        <f>CONCATENATE("C$",SUM(AN28,37))</f>
        <v>C$37</v>
      </c>
    </row>
    <row r="27" spans="41:47">
      <c r="AO27" t="s">
        <v>462</v>
      </c>
      <c r="AP27" t="s">
        <v>463</v>
      </c>
      <c r="AQ27" t="s">
        <v>464</v>
      </c>
      <c r="AS27" t="str">
        <f>CONCATENATE("B",SUM(AN28,41))</f>
        <v>B41</v>
      </c>
      <c r="AT27" t="str">
        <f>CONCATENATE("A",SUM(AN28,41))</f>
        <v>A41</v>
      </c>
      <c r="AU27" t="str">
        <f>CONCATENATE("C$",SUM(AN28,39))</f>
        <v>C$39</v>
      </c>
    </row>
    <row r="28" spans="41:47">
      <c r="AQ28" t="s">
        <v>464</v>
      </c>
      <c r="AU28" t="str">
        <f>CONCATENATE("C$",SUM(AN28,39))</f>
        <v>C$39</v>
      </c>
    </row>
    <row r="29" spans="41:47">
      <c r="AO29" t="s">
        <v>465</v>
      </c>
      <c r="AP29" t="s">
        <v>466</v>
      </c>
      <c r="AQ29" t="s">
        <v>467</v>
      </c>
      <c r="AS29" t="str">
        <f>CONCATENATE("B",SUM(AN28,43))</f>
        <v>B43</v>
      </c>
      <c r="AT29" t="str">
        <f>CONCATENATE("A",SUM(AN28,43))</f>
        <v>A43</v>
      </c>
      <c r="AU29" t="str">
        <f>CONCATENATE("C$",SUM(AN28,41))</f>
        <v>C$41</v>
      </c>
    </row>
    <row r="30" spans="41:47">
      <c r="AQ30" t="s">
        <v>505</v>
      </c>
      <c r="AU30" t="str">
        <f>CONCATENATE("C$",SUM(AN28,41))</f>
        <v>C$41</v>
      </c>
    </row>
    <row r="31" spans="41:47">
      <c r="AO31" t="s">
        <v>484</v>
      </c>
      <c r="AP31" t="s">
        <v>468</v>
      </c>
      <c r="AQ31" t="s">
        <v>469</v>
      </c>
      <c r="AS31" t="str">
        <f>CONCATENATE("B",SUM(AN28,45))</f>
        <v>B45</v>
      </c>
      <c r="AT31" t="str">
        <f>CONCATENATE("A",SUM(AN28,45))</f>
        <v>A45</v>
      </c>
      <c r="AU31" t="str">
        <f>CONCATENATE("C$",SUM(AN28,43))</f>
        <v>C$43</v>
      </c>
    </row>
    <row r="32" spans="41:47">
      <c r="AQ32" t="s">
        <v>469</v>
      </c>
      <c r="AU32" t="str">
        <f>CONCATENATE("C$",SUM(AN28,43))</f>
        <v>C$43</v>
      </c>
    </row>
    <row r="33" spans="41:47">
      <c r="AO33" t="s">
        <v>485</v>
      </c>
      <c r="AP33" t="s">
        <v>470</v>
      </c>
      <c r="AQ33" t="s">
        <v>471</v>
      </c>
      <c r="AS33" t="str">
        <f>CONCATENATE("B",SUM(AN28,47))</f>
        <v>B47</v>
      </c>
      <c r="AT33" t="str">
        <f>CONCATENATE("A",SUM(AN28,47))</f>
        <v>A47</v>
      </c>
      <c r="AU33" t="str">
        <f>CONCATENATE("C$",SUM(AN28,45))</f>
        <v>C$45</v>
      </c>
    </row>
    <row r="34" spans="41:47">
      <c r="AQ34" t="s">
        <v>471</v>
      </c>
      <c r="AU34" t="str">
        <f>CONCATENATE("C$",SUM(AN28,45))</f>
        <v>C$45</v>
      </c>
    </row>
    <row r="35" spans="41:47">
      <c r="AO35" t="s">
        <v>486</v>
      </c>
      <c r="AP35" t="s">
        <v>472</v>
      </c>
      <c r="AQ35" t="s">
        <v>473</v>
      </c>
      <c r="AS35" t="str">
        <f>CONCATENATE("B",SUM(AN28,49))</f>
        <v>B49</v>
      </c>
      <c r="AT35" t="str">
        <f>CONCATENATE("A",SUM(AN28,49))</f>
        <v>A49</v>
      </c>
      <c r="AU35" t="str">
        <f>CONCATENATE("C$",SUM(AN28,47))</f>
        <v>C$47</v>
      </c>
    </row>
    <row r="36" spans="41:47">
      <c r="AQ36" t="s">
        <v>473</v>
      </c>
      <c r="AU36" t="str">
        <f>CONCATENATE("C$",SUM(AN28,47))</f>
        <v>C$47</v>
      </c>
    </row>
    <row r="37" spans="41:47">
      <c r="AO37" t="s">
        <v>487</v>
      </c>
      <c r="AP37" t="s">
        <v>474</v>
      </c>
      <c r="AQ37" t="s">
        <v>475</v>
      </c>
      <c r="AS37" t="str">
        <f>CONCATENATE("B",SUM(AN28,51))</f>
        <v>B51</v>
      </c>
      <c r="AT37" t="str">
        <f>CONCATENATE("A",SUM(AN28,51))</f>
        <v>A51</v>
      </c>
      <c r="AU37" t="str">
        <f>CONCATENATE("C$",SUM(AN28,49))</f>
        <v>C$49</v>
      </c>
    </row>
    <row r="38" spans="41:47">
      <c r="AQ38" t="s">
        <v>475</v>
      </c>
      <c r="AU38" t="str">
        <f>CONCATENATE("C$",SUM(AN28,49))</f>
        <v>C$49</v>
      </c>
    </row>
    <row r="39" spans="41:47">
      <c r="AO39" t="s">
        <v>506</v>
      </c>
      <c r="AP39" t="s">
        <v>476</v>
      </c>
      <c r="AQ39" t="s">
        <v>477</v>
      </c>
      <c r="AS39" t="str">
        <f>CONCATENATE("B",SUM(AN28,53))</f>
        <v>B53</v>
      </c>
      <c r="AT39" t="str">
        <f>CONCATENATE("A",SUM(AN28,53))</f>
        <v>A53</v>
      </c>
      <c r="AU39" t="str">
        <f>CONCATENATE("C$",SUM(AN28,51))</f>
        <v>C$51</v>
      </c>
    </row>
    <row r="40" spans="41:47">
      <c r="AQ40" t="s">
        <v>477</v>
      </c>
      <c r="AU40" t="str">
        <f>CONCATENATE("C$",SUM(AN28,51))</f>
        <v>C$51</v>
      </c>
    </row>
    <row r="41" spans="41:47">
      <c r="AO41" t="s">
        <v>532</v>
      </c>
      <c r="AP41" t="s">
        <v>533</v>
      </c>
      <c r="AQ41" t="s">
        <v>534</v>
      </c>
      <c r="AS41" t="str">
        <f>CONCATENATE("B",SUM(AN28,55))</f>
        <v>B55</v>
      </c>
      <c r="AT41" t="str">
        <f>CONCATENATE("A",SUM(AN28,55))</f>
        <v>A55</v>
      </c>
      <c r="AU41" t="str">
        <f>CONCATENATE("C$",SUM(AN28,53))</f>
        <v>C$53</v>
      </c>
    </row>
    <row r="42" spans="41:47">
      <c r="AQ42" t="s">
        <v>534</v>
      </c>
    </row>
    <row r="43" spans="41:47">
      <c r="AO43" t="s">
        <v>535</v>
      </c>
      <c r="AP43" t="s">
        <v>536</v>
      </c>
      <c r="AQ43" t="s">
        <v>537</v>
      </c>
      <c r="AS43" t="str">
        <f>CONCATENATE("B",SUM(AN28,57))</f>
        <v>B57</v>
      </c>
      <c r="AT43" t="str">
        <f>CONCATENATE("A",SUM(AN28,57))</f>
        <v>A57</v>
      </c>
      <c r="AU43" t="str">
        <f>CONCATENATE("C$",SUM(AN28,55))</f>
        <v>C$55</v>
      </c>
    </row>
    <row r="44" spans="41:47">
      <c r="AQ44" t="s">
        <v>537</v>
      </c>
    </row>
    <row r="45" spans="41:47">
      <c r="AO45" t="s">
        <v>538</v>
      </c>
      <c r="AP45" t="s">
        <v>540</v>
      </c>
      <c r="AQ45" t="s">
        <v>544</v>
      </c>
      <c r="AS45" t="str">
        <f>CONCATENATE("B",SUM(AN28,59))</f>
        <v>B59</v>
      </c>
      <c r="AT45" t="str">
        <f>CONCATENATE("A",SUM(AN28,59))</f>
        <v>A59</v>
      </c>
      <c r="AU45" t="str">
        <f>CONCATENATE("C$",SUM(AN28,57))</f>
        <v>C$57</v>
      </c>
    </row>
    <row r="46" spans="41:47">
      <c r="AQ46" t="s">
        <v>544</v>
      </c>
    </row>
    <row r="47" spans="41:47">
      <c r="AO47" t="s">
        <v>539</v>
      </c>
      <c r="AP47" t="s">
        <v>541</v>
      </c>
      <c r="AQ47" t="s">
        <v>545</v>
      </c>
      <c r="AS47" t="str">
        <f>CONCATENATE("B",SUM(AN28,61))</f>
        <v>B61</v>
      </c>
      <c r="AT47" t="str">
        <f>CONCATENATE("A",SUM(AN28,61))</f>
        <v>A61</v>
      </c>
      <c r="AU47" t="str">
        <f>CONCATENATE("C$",SUM(AN28,59))</f>
        <v>C$59</v>
      </c>
    </row>
    <row r="48" spans="41:47">
      <c r="AQ48" t="s">
        <v>545</v>
      </c>
    </row>
    <row r="49" spans="41:47">
      <c r="AO49" t="s">
        <v>542</v>
      </c>
      <c r="AP49" t="s">
        <v>543</v>
      </c>
      <c r="AQ49" t="s">
        <v>546</v>
      </c>
      <c r="AS49" t="str">
        <f>CONCATENATE("B",SUM(AN28,63))</f>
        <v>B63</v>
      </c>
      <c r="AT49" t="str">
        <f>CONCATENATE("A",SUM(AN28,63))</f>
        <v>A63</v>
      </c>
      <c r="AU49" t="str">
        <f>CONCATENATE("C$",SUM(AN28,61))</f>
        <v>C$61</v>
      </c>
    </row>
    <row r="50" spans="41:47">
      <c r="AQ50" t="s">
        <v>546</v>
      </c>
    </row>
    <row r="51" spans="41:47">
      <c r="AO51" t="s">
        <v>547</v>
      </c>
      <c r="AP51" t="s">
        <v>548</v>
      </c>
      <c r="AQ51" t="s">
        <v>549</v>
      </c>
      <c r="AS51" t="str">
        <f>CONCATENATE("B",SUM(AN28,65))</f>
        <v>B65</v>
      </c>
      <c r="AT51" t="str">
        <f>CONCATENATE("A",SUM(AN28,65))</f>
        <v>A65</v>
      </c>
      <c r="AU51" t="str">
        <f>CONCATENATE("C$",SUM(AN28,63))</f>
        <v>C$63</v>
      </c>
    </row>
    <row r="52" spans="41:47">
      <c r="AQ52" t="s">
        <v>549</v>
      </c>
    </row>
    <row r="53" spans="41:47">
      <c r="AO53" t="s">
        <v>551</v>
      </c>
      <c r="AP53" t="s">
        <v>552</v>
      </c>
      <c r="AQ53" t="s">
        <v>550</v>
      </c>
      <c r="AS53" t="str">
        <f>CONCATENATE("B",SUM(AN28,67))</f>
        <v>B67</v>
      </c>
      <c r="AT53" t="str">
        <f>CONCATENATE("A",SUM(AN28,67))</f>
        <v>A67</v>
      </c>
      <c r="AU53" t="str">
        <f>CONCATENATE("C$",SUM(AN28,65))</f>
        <v>C$65</v>
      </c>
    </row>
    <row r="54" spans="41:47">
      <c r="AQ54" t="s">
        <v>550</v>
      </c>
    </row>
    <row r="55" spans="41:47">
      <c r="AO55" t="s">
        <v>553</v>
      </c>
      <c r="AP55" t="s">
        <v>554</v>
      </c>
      <c r="AQ55" t="s">
        <v>555</v>
      </c>
      <c r="AS55" t="str">
        <f>CONCATENATE("B",SUM(AN28,69))</f>
        <v>B69</v>
      </c>
      <c r="AT55" t="str">
        <f>CONCATENATE("A",SUM(AN28,69))</f>
        <v>A69</v>
      </c>
      <c r="AU55" t="str">
        <f>CONCATENATE("C$",SUM(AN28,67))</f>
        <v>C$67</v>
      </c>
    </row>
    <row r="56" spans="41:47">
      <c r="AQ56" t="s">
        <v>555</v>
      </c>
    </row>
    <row r="57" spans="41:47">
      <c r="AO57" t="s">
        <v>556</v>
      </c>
      <c r="AP57" t="s">
        <v>557</v>
      </c>
      <c r="AQ57" t="s">
        <v>558</v>
      </c>
      <c r="AS57" t="str">
        <f>CONCATENATE("B",SUM(AN28,71))</f>
        <v>B71</v>
      </c>
      <c r="AT57" t="str">
        <f>CONCATENATE("A",SUM(AN28,71))</f>
        <v>A71</v>
      </c>
      <c r="AU57" t="str">
        <f>CONCATENATE("C$",SUM(AN28,69))</f>
        <v>C$69</v>
      </c>
    </row>
    <row r="58" spans="41:47">
      <c r="AQ58" t="s">
        <v>558</v>
      </c>
    </row>
    <row r="59" spans="41:47">
      <c r="AO59" t="s">
        <v>559</v>
      </c>
      <c r="AP59" t="s">
        <v>560</v>
      </c>
      <c r="AQ59" t="s">
        <v>561</v>
      </c>
      <c r="AS59" t="str">
        <f>CONCATENATE("B",SUM(AN28,73))</f>
        <v>B73</v>
      </c>
      <c r="AT59" t="str">
        <f>CONCATENATE("A",SUM(AN28,73))</f>
        <v>A73</v>
      </c>
      <c r="AU59" t="str">
        <f>CONCATENATE("C$",SUM(AN28,71))</f>
        <v>C$71</v>
      </c>
    </row>
    <row r="60" spans="41:47">
      <c r="AQ60" t="s">
        <v>561</v>
      </c>
    </row>
    <row r="61" spans="41:47">
      <c r="AO61" t="s">
        <v>563</v>
      </c>
      <c r="AP61" t="s">
        <v>564</v>
      </c>
      <c r="AQ61" t="s">
        <v>562</v>
      </c>
      <c r="AS61" t="str">
        <f>CONCATENATE("B",SUM(AN28,75))</f>
        <v>B75</v>
      </c>
      <c r="AT61" t="str">
        <f>CONCATENATE("A",SUM(AN28,75))</f>
        <v>A75</v>
      </c>
      <c r="AU61" t="str">
        <f>CONCATENATE("C$",SUM(AN28,73))</f>
        <v>C$73</v>
      </c>
    </row>
    <row r="62" spans="41:47">
      <c r="AQ62" t="s">
        <v>562</v>
      </c>
    </row>
    <row r="63" spans="41:47">
      <c r="AO63" t="s">
        <v>565</v>
      </c>
      <c r="AP63" t="s">
        <v>566</v>
      </c>
      <c r="AQ63" t="s">
        <v>567</v>
      </c>
      <c r="AS63" t="str">
        <f>CONCATENATE("B",SUM(AN28,77))</f>
        <v>B77</v>
      </c>
      <c r="AT63" t="str">
        <f>CONCATENATE("A",SUM(AN28,77))</f>
        <v>A77</v>
      </c>
      <c r="AU63" t="str">
        <f>CONCATENATE("C$",SUM(AN28,75))</f>
        <v>C$75</v>
      </c>
    </row>
    <row r="64" spans="41:47">
      <c r="AQ64" t="s">
        <v>567</v>
      </c>
    </row>
    <row r="65" spans="41:47">
      <c r="AO65" t="s">
        <v>568</v>
      </c>
      <c r="AP65" t="s">
        <v>569</v>
      </c>
      <c r="AQ65" t="s">
        <v>570</v>
      </c>
      <c r="AS65" t="str">
        <f>CONCATENATE("B",SUM(AN28,79))</f>
        <v>B79</v>
      </c>
      <c r="AT65" t="str">
        <f>CONCATENATE("A",SUM(AN28,79))</f>
        <v>A79</v>
      </c>
      <c r="AU65" t="str">
        <f>CONCATENATE("C$",SUM(AN28,77))</f>
        <v>C$77</v>
      </c>
    </row>
    <row r="66" spans="41:47">
      <c r="AQ66" t="s">
        <v>570</v>
      </c>
    </row>
    <row r="67" spans="41:47">
      <c r="AO67" t="s">
        <v>571</v>
      </c>
      <c r="AP67" t="s">
        <v>572</v>
      </c>
      <c r="AQ67" t="s">
        <v>573</v>
      </c>
      <c r="AS67" t="str">
        <f>CONCATENATE("B",SUM(AN28,81))</f>
        <v>B81</v>
      </c>
      <c r="AT67" t="str">
        <f>CONCATENATE("A",SUM(AN28,81))</f>
        <v>A81</v>
      </c>
      <c r="AU67" t="str">
        <f>CONCATENATE("C$",SUM(AN28,79))</f>
        <v>C$79</v>
      </c>
    </row>
    <row r="68" spans="41:47">
      <c r="AQ68" t="s">
        <v>573</v>
      </c>
    </row>
    <row r="69" spans="41:47">
      <c r="AO69" t="s">
        <v>574</v>
      </c>
      <c r="AP69" t="s">
        <v>575</v>
      </c>
      <c r="AQ69" t="s">
        <v>576</v>
      </c>
      <c r="AS69" t="str">
        <f>CONCATENATE("B",SUM(AN28,83))</f>
        <v>B83</v>
      </c>
      <c r="AT69" t="str">
        <f>CONCATENATE("A",SUM(AN28,83))</f>
        <v>A83</v>
      </c>
      <c r="AU69" t="str">
        <f>CONCATENATE("C$",SUM(AN28,81))</f>
        <v>C$81</v>
      </c>
    </row>
    <row r="70" spans="41:47">
      <c r="AQ70" t="s">
        <v>576</v>
      </c>
    </row>
    <row r="71" spans="41:47">
      <c r="AO71" t="s">
        <v>577</v>
      </c>
      <c r="AP71" t="s">
        <v>578</v>
      </c>
      <c r="AQ71" t="s">
        <v>579</v>
      </c>
      <c r="AS71" t="str">
        <f>CONCATENATE("B",SUM(AN28,85))</f>
        <v>B85</v>
      </c>
      <c r="AT71" t="str">
        <f>CONCATENATE("A",SUM(AN28,85))</f>
        <v>A85</v>
      </c>
      <c r="AU71" t="str">
        <f>CONCATENATE("C$",SUM(AN28,83))</f>
        <v>C$83</v>
      </c>
    </row>
    <row r="72" spans="41:47">
      <c r="AQ72" t="s">
        <v>579</v>
      </c>
    </row>
    <row r="73" spans="41:47">
      <c r="AO73" t="s">
        <v>580</v>
      </c>
      <c r="AP73" t="s">
        <v>581</v>
      </c>
      <c r="AQ73" t="s">
        <v>582</v>
      </c>
      <c r="AS73" t="str">
        <f>CONCATENATE("B",SUM(AN28,87))</f>
        <v>B87</v>
      </c>
      <c r="AT73" t="str">
        <f>CONCATENATE("A",SUM(AN28,87))</f>
        <v>A87</v>
      </c>
      <c r="AU73" t="str">
        <f>CONCATENATE("C$",SUM(AN28,85))</f>
        <v>C$85</v>
      </c>
    </row>
    <row r="74" spans="41:47">
      <c r="AQ74" t="s">
        <v>582</v>
      </c>
    </row>
    <row r="75" spans="41:47">
      <c r="AO75" t="s">
        <v>584</v>
      </c>
      <c r="AP75" t="s">
        <v>585</v>
      </c>
      <c r="AQ75" t="s">
        <v>583</v>
      </c>
      <c r="AS75" t="str">
        <f>CONCATENATE("B",SUM(AN28,89))</f>
        <v>B89</v>
      </c>
      <c r="AT75" t="str">
        <f>CONCATENATE("A",SUM(AN28,89))</f>
        <v>A89</v>
      </c>
      <c r="AU75" t="str">
        <f>CONCATENATE("C$",SUM(AN28,87))</f>
        <v>C$87</v>
      </c>
    </row>
    <row r="76" spans="41:47">
      <c r="AQ76" t="s">
        <v>583</v>
      </c>
    </row>
    <row r="77" spans="41:47">
      <c r="AO77" t="s">
        <v>586</v>
      </c>
      <c r="AP77" t="s">
        <v>587</v>
      </c>
      <c r="AQ77" t="s">
        <v>588</v>
      </c>
      <c r="AS77" t="str">
        <f>CONCATENATE("B",SUM(AN28,91))</f>
        <v>B91</v>
      </c>
      <c r="AT77" t="str">
        <f>CONCATENATE("A",SUM(AN28,91))</f>
        <v>A91</v>
      </c>
      <c r="AU77" t="str">
        <f>CONCATENATE("C$",SUM(AN28,89))</f>
        <v>C$89</v>
      </c>
    </row>
    <row r="78" spans="41:47">
      <c r="AQ78" t="s">
        <v>588</v>
      </c>
    </row>
    <row r="79" spans="41:47">
      <c r="AO79" t="s">
        <v>589</v>
      </c>
      <c r="AP79" t="s">
        <v>590</v>
      </c>
      <c r="AQ79" t="s">
        <v>591</v>
      </c>
      <c r="AS79" t="str">
        <f>CONCATENATE("B",SUM(AN28,93))</f>
        <v>B93</v>
      </c>
      <c r="AT79" t="str">
        <f>CONCATENATE("A",SUM(AN28,93))</f>
        <v>A93</v>
      </c>
      <c r="AU79" t="str">
        <f>CONCATENATE("C$",SUM(AN28,91))</f>
        <v>C$91</v>
      </c>
    </row>
    <row r="80" spans="41:47">
      <c r="AQ80" t="s">
        <v>591</v>
      </c>
    </row>
    <row r="81" spans="41:47">
      <c r="AO81" t="s">
        <v>592</v>
      </c>
      <c r="AP81" t="s">
        <v>593</v>
      </c>
      <c r="AQ81" t="s">
        <v>594</v>
      </c>
      <c r="AS81" t="str">
        <f>CONCATENATE("B",SUM(AN28,95))</f>
        <v>B95</v>
      </c>
      <c r="AT81" t="str">
        <f>CONCATENATE("B",SUM(AN28,95))</f>
        <v>B95</v>
      </c>
      <c r="AU81" t="str">
        <f>CONCATENATE("C$",SUM(AN28,93))</f>
        <v>C$93</v>
      </c>
    </row>
    <row r="82" spans="41:47">
      <c r="AQ82" t="s">
        <v>594</v>
      </c>
    </row>
    <row r="83" spans="41:47">
      <c r="AO83" t="s">
        <v>595</v>
      </c>
      <c r="AP83" t="s">
        <v>596</v>
      </c>
      <c r="AQ83" t="s">
        <v>597</v>
      </c>
      <c r="AS83" t="str">
        <f>CONCATENATE("B",SUM(AN28,97))</f>
        <v>B97</v>
      </c>
      <c r="AT83" t="str">
        <f>CONCATENATE("B",SUM(AN28,97))</f>
        <v>B97</v>
      </c>
      <c r="AU83" t="str">
        <f>CONCATENATE("C$",SUM(AN28,95))</f>
        <v>C$95</v>
      </c>
    </row>
    <row r="84" spans="41:47">
      <c r="AQ84" t="s">
        <v>597</v>
      </c>
    </row>
    <row r="85" spans="41:47">
      <c r="AO85" t="s">
        <v>598</v>
      </c>
      <c r="AP85" t="s">
        <v>599</v>
      </c>
      <c r="AQ85" t="s">
        <v>600</v>
      </c>
      <c r="AS85" t="str">
        <f>CONCATENATE("B",SUM(AN28,99))</f>
        <v>B99</v>
      </c>
      <c r="AT85" t="str">
        <f>CONCATENATE("A",SUM(AN28,99))</f>
        <v>A99</v>
      </c>
      <c r="AU85" t="str">
        <f>CONCATENATE("C$",SUM(AN28,97))</f>
        <v>C$97</v>
      </c>
    </row>
    <row r="86" spans="41:47">
      <c r="AQ86" t="s">
        <v>600</v>
      </c>
    </row>
    <row r="87" spans="41:47">
      <c r="AO87" t="s">
        <v>601</v>
      </c>
      <c r="AP87" t="s">
        <v>602</v>
      </c>
      <c r="AQ87" t="s">
        <v>603</v>
      </c>
      <c r="AS87" t="str">
        <f>CONCATENATE("B",SUM(AN28,101))</f>
        <v>B101</v>
      </c>
      <c r="AT87" t="str">
        <f>CONCATENATE("A",SUM(AN28,101))</f>
        <v>A101</v>
      </c>
      <c r="AU87" t="str">
        <f>CONCATENATE("C$",SUM(AN28,99))</f>
        <v>C$99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workbookViewId="0">
      <selection activeCell="A8" sqref="A8:B8"/>
    </sheetView>
  </sheetViews>
  <sheetFormatPr baseColWidth="10" defaultColWidth="9.140625" defaultRowHeight="12.75"/>
  <sheetData>
    <row r="1" spans="1:2" ht="38.25" customHeight="1" thickTop="1" thickBot="1">
      <c r="A1" s="626"/>
      <c r="B1" s="627"/>
    </row>
    <row r="2" spans="1:2" ht="13.5" thickBot="1">
      <c r="A2" s="628" t="s">
        <v>95</v>
      </c>
      <c r="B2" s="629"/>
    </row>
    <row r="3" spans="1:2">
      <c r="A3" s="630" t="s">
        <v>92</v>
      </c>
      <c r="B3" s="631"/>
    </row>
    <row r="4" spans="1:2">
      <c r="A4" s="623" t="s">
        <v>93</v>
      </c>
      <c r="B4" s="622"/>
    </row>
    <row r="5" spans="1:2">
      <c r="A5" s="623" t="s">
        <v>94</v>
      </c>
      <c r="B5" s="622"/>
    </row>
    <row r="6" spans="1:2">
      <c r="A6" s="621" t="s">
        <v>361</v>
      </c>
      <c r="B6" s="622"/>
    </row>
    <row r="7" spans="1:2">
      <c r="A7" s="621" t="s">
        <v>362</v>
      </c>
      <c r="B7" s="622"/>
    </row>
    <row r="8" spans="1:2">
      <c r="A8" s="623"/>
      <c r="B8" s="622"/>
    </row>
    <row r="9" spans="1:2">
      <c r="A9" s="623"/>
      <c r="B9" s="622"/>
    </row>
    <row r="10" spans="1:2" ht="13.5" thickBot="1">
      <c r="A10" s="624"/>
      <c r="B10" s="625"/>
    </row>
  </sheetData>
  <sheetProtection password="D90D" sheet="1" objects="1" scenarios="1" selectLockedCells="1" selectUnlockedCells="1"/>
  <mergeCells count="10">
    <mergeCell ref="A7:B7"/>
    <mergeCell ref="A8:B8"/>
    <mergeCell ref="A9:B9"/>
    <mergeCell ref="A10:B10"/>
    <mergeCell ref="A1:B1"/>
    <mergeCell ref="A2:B2"/>
    <mergeCell ref="A3:B3"/>
    <mergeCell ref="A4:B4"/>
    <mergeCell ref="A5:B5"/>
    <mergeCell ref="A6:B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2"/>
  <sheetViews>
    <sheetView workbookViewId="0">
      <selection activeCell="A33" sqref="A33"/>
    </sheetView>
  </sheetViews>
  <sheetFormatPr baseColWidth="10" defaultColWidth="9.140625" defaultRowHeight="12.75"/>
  <cols>
    <col min="1" max="2" width="12.85546875" customWidth="1"/>
  </cols>
  <sheetData>
    <row r="1" spans="1:2" ht="38.25" customHeight="1" thickTop="1" thickBot="1">
      <c r="A1" s="626"/>
      <c r="B1" s="627"/>
    </row>
    <row r="2" spans="1:2" ht="13.5" thickBot="1">
      <c r="A2" s="628" t="s">
        <v>308</v>
      </c>
      <c r="B2" s="629"/>
    </row>
    <row r="3" spans="1:2">
      <c r="A3" s="632" t="s">
        <v>332</v>
      </c>
      <c r="B3" s="631"/>
    </row>
    <row r="4" spans="1:2">
      <c r="A4" s="621" t="s">
        <v>333</v>
      </c>
      <c r="B4" s="622"/>
    </row>
    <row r="5" spans="1:2">
      <c r="A5" s="621" t="s">
        <v>507</v>
      </c>
      <c r="B5" s="622"/>
    </row>
    <row r="6" spans="1:2">
      <c r="A6" s="621" t="s">
        <v>334</v>
      </c>
      <c r="B6" s="622"/>
    </row>
    <row r="7" spans="1:2">
      <c r="A7" s="621" t="s">
        <v>808</v>
      </c>
      <c r="B7" s="622"/>
    </row>
    <row r="8" spans="1:2">
      <c r="A8" s="621" t="s">
        <v>336</v>
      </c>
      <c r="B8" s="622"/>
    </row>
    <row r="9" spans="1:2">
      <c r="A9" s="621" t="s">
        <v>337</v>
      </c>
      <c r="B9" s="622"/>
    </row>
    <row r="10" spans="1:2">
      <c r="A10" s="621" t="s">
        <v>338</v>
      </c>
      <c r="B10" s="622"/>
    </row>
    <row r="11" spans="1:2">
      <c r="A11" s="621" t="s">
        <v>339</v>
      </c>
      <c r="B11" s="622"/>
    </row>
    <row r="12" spans="1:2">
      <c r="A12" s="621" t="s">
        <v>340</v>
      </c>
      <c r="B12" s="622"/>
    </row>
    <row r="13" spans="1:2">
      <c r="A13" s="621" t="s">
        <v>341</v>
      </c>
      <c r="B13" s="622"/>
    </row>
    <row r="14" spans="1:2">
      <c r="A14" s="621" t="s">
        <v>809</v>
      </c>
      <c r="B14" s="622"/>
    </row>
    <row r="15" spans="1:2">
      <c r="A15" s="621" t="s">
        <v>343</v>
      </c>
      <c r="B15" s="622"/>
    </row>
    <row r="16" spans="1:2">
      <c r="A16" s="621" t="s">
        <v>344</v>
      </c>
      <c r="B16" s="622"/>
    </row>
    <row r="17" spans="1:2">
      <c r="A17" s="621" t="s">
        <v>345</v>
      </c>
      <c r="B17" s="622"/>
    </row>
    <row r="18" spans="1:2">
      <c r="A18" s="621" t="s">
        <v>526</v>
      </c>
      <c r="B18" s="622"/>
    </row>
    <row r="19" spans="1:2">
      <c r="A19" s="621" t="s">
        <v>346</v>
      </c>
      <c r="B19" s="622"/>
    </row>
    <row r="20" spans="1:2">
      <c r="A20" s="621" t="s">
        <v>347</v>
      </c>
      <c r="B20" s="622"/>
    </row>
    <row r="21" spans="1:2">
      <c r="A21" s="621" t="s">
        <v>348</v>
      </c>
      <c r="B21" s="622"/>
    </row>
    <row r="22" spans="1:2">
      <c r="A22" s="621" t="s">
        <v>349</v>
      </c>
      <c r="B22" s="622"/>
    </row>
    <row r="23" spans="1:2">
      <c r="A23" s="621" t="s">
        <v>350</v>
      </c>
      <c r="B23" s="622"/>
    </row>
    <row r="24" spans="1:2">
      <c r="A24" s="621" t="s">
        <v>351</v>
      </c>
      <c r="B24" s="622"/>
    </row>
    <row r="25" spans="1:2">
      <c r="A25" s="621" t="s">
        <v>527</v>
      </c>
      <c r="B25" s="622"/>
    </row>
    <row r="26" spans="1:2">
      <c r="A26" s="621" t="s">
        <v>352</v>
      </c>
      <c r="B26" s="622"/>
    </row>
    <row r="27" spans="1:2">
      <c r="A27" s="621" t="s">
        <v>353</v>
      </c>
      <c r="B27" s="622"/>
    </row>
    <row r="28" spans="1:2">
      <c r="A28" s="621" t="s">
        <v>354</v>
      </c>
      <c r="B28" s="622"/>
    </row>
    <row r="29" spans="1:2">
      <c r="A29" s="621" t="s">
        <v>355</v>
      </c>
      <c r="B29" s="622"/>
    </row>
    <row r="30" spans="1:2">
      <c r="A30" s="621" t="s">
        <v>528</v>
      </c>
      <c r="B30" s="622"/>
    </row>
    <row r="31" spans="1:2">
      <c r="A31" s="621" t="s">
        <v>529</v>
      </c>
      <c r="B31" s="622"/>
    </row>
    <row r="32" spans="1:2" ht="13.5" thickBot="1">
      <c r="A32" s="633" t="s">
        <v>530</v>
      </c>
      <c r="B32" s="625"/>
    </row>
  </sheetData>
  <sheetProtection selectLockedCells="1" selectUnlockedCells="1"/>
  <mergeCells count="32">
    <mergeCell ref="A29:B29"/>
    <mergeCell ref="A30:B30"/>
    <mergeCell ref="A31:B31"/>
    <mergeCell ref="A32:B32"/>
    <mergeCell ref="A24:B24"/>
    <mergeCell ref="A25:B25"/>
    <mergeCell ref="A26:B26"/>
    <mergeCell ref="A27:B27"/>
    <mergeCell ref="A28:B28"/>
    <mergeCell ref="A19:B19"/>
    <mergeCell ref="A20:B20"/>
    <mergeCell ref="A21:B21"/>
    <mergeCell ref="A22:B22"/>
    <mergeCell ref="A23:B23"/>
    <mergeCell ref="A14:B14"/>
    <mergeCell ref="A15:B15"/>
    <mergeCell ref="A16:B16"/>
    <mergeCell ref="A17:B17"/>
    <mergeCell ref="A18:B18"/>
    <mergeCell ref="A13:B13"/>
    <mergeCell ref="A7:B7"/>
    <mergeCell ref="A8:B8"/>
    <mergeCell ref="A9:B9"/>
    <mergeCell ref="A10:B10"/>
    <mergeCell ref="A11:B11"/>
    <mergeCell ref="A12:B12"/>
    <mergeCell ref="A6:B6"/>
    <mergeCell ref="A1:B1"/>
    <mergeCell ref="A2:B2"/>
    <mergeCell ref="A3:B3"/>
    <mergeCell ref="A4:B4"/>
    <mergeCell ref="A5:B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367"/>
  <sheetViews>
    <sheetView topLeftCell="A298" zoomScaleNormal="100" workbookViewId="0">
      <selection activeCell="A317" sqref="A317"/>
    </sheetView>
  </sheetViews>
  <sheetFormatPr baseColWidth="10" defaultColWidth="9.140625" defaultRowHeight="12.75"/>
  <cols>
    <col min="1" max="1" width="83.140625" bestFit="1" customWidth="1"/>
    <col min="3" max="3" width="23" customWidth="1"/>
  </cols>
  <sheetData>
    <row r="1" spans="1:1">
      <c r="A1" s="338" t="s">
        <v>807</v>
      </c>
    </row>
    <row r="2" spans="1:1">
      <c r="A2" s="34" t="s">
        <v>605</v>
      </c>
    </row>
    <row r="3" spans="1:1">
      <c r="A3" s="34" t="s">
        <v>606</v>
      </c>
    </row>
    <row r="4" spans="1:1">
      <c r="A4" s="34" t="s">
        <v>607</v>
      </c>
    </row>
    <row r="5" spans="1:1">
      <c r="A5" s="34" t="s">
        <v>608</v>
      </c>
    </row>
    <row r="6" spans="1:1">
      <c r="A6" s="34" t="s">
        <v>609</v>
      </c>
    </row>
    <row r="7" spans="1:1">
      <c r="A7" s="34" t="s">
        <v>814</v>
      </c>
    </row>
    <row r="8" spans="1:1">
      <c r="A8" s="34" t="s">
        <v>815</v>
      </c>
    </row>
    <row r="9" spans="1:1">
      <c r="A9" s="34" t="s">
        <v>816</v>
      </c>
    </row>
    <row r="10" spans="1:1">
      <c r="A10" s="34" t="s">
        <v>817</v>
      </c>
    </row>
    <row r="11" spans="1:1">
      <c r="A11" s="34" t="s">
        <v>818</v>
      </c>
    </row>
    <row r="12" spans="1:1">
      <c r="A12" s="34" t="s">
        <v>819</v>
      </c>
    </row>
    <row r="13" spans="1:1">
      <c r="A13" s="34" t="s">
        <v>820</v>
      </c>
    </row>
    <row r="14" spans="1:1">
      <c r="A14" s="34" t="s">
        <v>821</v>
      </c>
    </row>
    <row r="15" spans="1:1">
      <c r="A15" s="34" t="s">
        <v>822</v>
      </c>
    </row>
    <row r="16" spans="1:1">
      <c r="A16" s="34" t="s">
        <v>823</v>
      </c>
    </row>
    <row r="17" spans="1:1">
      <c r="A17" s="34" t="s">
        <v>610</v>
      </c>
    </row>
    <row r="18" spans="1:1">
      <c r="A18" s="34" t="s">
        <v>611</v>
      </c>
    </row>
    <row r="22" spans="1:1">
      <c r="A22" s="34" t="s">
        <v>333</v>
      </c>
    </row>
    <row r="23" spans="1:1">
      <c r="A23" s="34" t="s">
        <v>612</v>
      </c>
    </row>
    <row r="24" spans="1:1">
      <c r="A24" s="34" t="s">
        <v>613</v>
      </c>
    </row>
    <row r="25" spans="1:1">
      <c r="A25" s="34" t="s">
        <v>614</v>
      </c>
    </row>
    <row r="26" spans="1:1">
      <c r="A26" s="34" t="s">
        <v>615</v>
      </c>
    </row>
    <row r="27" spans="1:1">
      <c r="A27" s="34" t="s">
        <v>616</v>
      </c>
    </row>
    <row r="28" spans="1:1">
      <c r="A28" s="34" t="s">
        <v>617</v>
      </c>
    </row>
    <row r="29" spans="1:1">
      <c r="A29" s="34" t="s">
        <v>618</v>
      </c>
    </row>
    <row r="33" spans="1:1">
      <c r="A33" s="34" t="s">
        <v>507</v>
      </c>
    </row>
    <row r="34" spans="1:1">
      <c r="A34" s="34" t="s">
        <v>619</v>
      </c>
    </row>
    <row r="35" spans="1:1">
      <c r="A35" s="34" t="s">
        <v>620</v>
      </c>
    </row>
    <row r="36" spans="1:1">
      <c r="A36" s="34" t="s">
        <v>621</v>
      </c>
    </row>
    <row r="37" spans="1:1">
      <c r="A37" s="34" t="s">
        <v>622</v>
      </c>
    </row>
    <row r="38" spans="1:1">
      <c r="A38" s="34" t="s">
        <v>623</v>
      </c>
    </row>
    <row r="39" spans="1:1">
      <c r="A39" s="34" t="s">
        <v>624</v>
      </c>
    </row>
    <row r="40" spans="1:1">
      <c r="A40" s="34" t="s">
        <v>625</v>
      </c>
    </row>
    <row r="41" spans="1:1">
      <c r="A41" s="34" t="s">
        <v>626</v>
      </c>
    </row>
    <row r="42" spans="1:1">
      <c r="A42" s="34" t="s">
        <v>627</v>
      </c>
    </row>
    <row r="46" spans="1:1">
      <c r="A46" s="34" t="s">
        <v>334</v>
      </c>
    </row>
    <row r="47" spans="1:1">
      <c r="A47" s="34" t="s">
        <v>628</v>
      </c>
    </row>
    <row r="48" spans="1:1">
      <c r="A48" s="34" t="s">
        <v>629</v>
      </c>
    </row>
    <row r="49" spans="1:1">
      <c r="A49" s="34" t="s">
        <v>630</v>
      </c>
    </row>
    <row r="50" spans="1:1">
      <c r="A50" s="34" t="s">
        <v>631</v>
      </c>
    </row>
    <row r="51" spans="1:1">
      <c r="A51" s="34" t="s">
        <v>632</v>
      </c>
    </row>
    <row r="55" spans="1:1">
      <c r="A55" s="34" t="s">
        <v>335</v>
      </c>
    </row>
    <row r="56" spans="1:1">
      <c r="A56" s="34" t="s">
        <v>633</v>
      </c>
    </row>
    <row r="57" spans="1:1">
      <c r="A57" s="34" t="s">
        <v>634</v>
      </c>
    </row>
    <row r="58" spans="1:1">
      <c r="A58" s="34" t="s">
        <v>635</v>
      </c>
    </row>
    <row r="59" spans="1:1">
      <c r="A59" s="34" t="s">
        <v>636</v>
      </c>
    </row>
    <row r="60" spans="1:1">
      <c r="A60" s="34" t="s">
        <v>637</v>
      </c>
    </row>
    <row r="61" spans="1:1">
      <c r="A61" s="34" t="s">
        <v>638</v>
      </c>
    </row>
    <row r="62" spans="1:1">
      <c r="A62" s="34" t="s">
        <v>858</v>
      </c>
    </row>
    <row r="66" spans="1:1">
      <c r="A66" s="34" t="s">
        <v>336</v>
      </c>
    </row>
    <row r="67" spans="1:1">
      <c r="A67" s="34" t="s">
        <v>639</v>
      </c>
    </row>
    <row r="68" spans="1:1">
      <c r="A68" s="34" t="s">
        <v>640</v>
      </c>
    </row>
    <row r="69" spans="1:1">
      <c r="A69" s="34" t="s">
        <v>641</v>
      </c>
    </row>
    <row r="70" spans="1:1">
      <c r="A70" s="34" t="s">
        <v>642</v>
      </c>
    </row>
    <row r="71" spans="1:1">
      <c r="A71" s="34" t="s">
        <v>643</v>
      </c>
    </row>
    <row r="72" spans="1:1">
      <c r="A72" s="34" t="s">
        <v>824</v>
      </c>
    </row>
    <row r="73" spans="1:1">
      <c r="A73" s="34" t="s">
        <v>825</v>
      </c>
    </row>
    <row r="74" spans="1:1">
      <c r="A74" s="34" t="s">
        <v>826</v>
      </c>
    </row>
    <row r="75" spans="1:1">
      <c r="A75" s="34" t="s">
        <v>827</v>
      </c>
    </row>
    <row r="76" spans="1:1">
      <c r="A76" s="34" t="s">
        <v>828</v>
      </c>
    </row>
    <row r="77" spans="1:1">
      <c r="A77" s="34" t="s">
        <v>829</v>
      </c>
    </row>
    <row r="78" spans="1:1">
      <c r="A78" s="34" t="s">
        <v>830</v>
      </c>
    </row>
    <row r="79" spans="1:1">
      <c r="A79" s="34" t="s">
        <v>831</v>
      </c>
    </row>
    <row r="80" spans="1:1">
      <c r="A80" s="34" t="s">
        <v>832</v>
      </c>
    </row>
    <row r="81" spans="1:1">
      <c r="A81" s="34" t="s">
        <v>833</v>
      </c>
    </row>
    <row r="82" spans="1:1">
      <c r="A82" s="34" t="s">
        <v>834</v>
      </c>
    </row>
    <row r="83" spans="1:1">
      <c r="A83" s="34" t="s">
        <v>835</v>
      </c>
    </row>
    <row r="87" spans="1:1">
      <c r="A87" s="34" t="s">
        <v>337</v>
      </c>
    </row>
    <row r="88" spans="1:1">
      <c r="A88" s="34" t="s">
        <v>644</v>
      </c>
    </row>
    <row r="89" spans="1:1">
      <c r="A89" s="34" t="s">
        <v>645</v>
      </c>
    </row>
    <row r="90" spans="1:1">
      <c r="A90" s="34" t="s">
        <v>646</v>
      </c>
    </row>
    <row r="94" spans="1:1">
      <c r="A94" s="34" t="s">
        <v>338</v>
      </c>
    </row>
    <row r="95" spans="1:1">
      <c r="A95" s="34" t="s">
        <v>647</v>
      </c>
    </row>
    <row r="96" spans="1:1">
      <c r="A96" s="34" t="s">
        <v>648</v>
      </c>
    </row>
    <row r="97" spans="1:1">
      <c r="A97" s="34" t="s">
        <v>649</v>
      </c>
    </row>
    <row r="98" spans="1:1">
      <c r="A98" s="34" t="s">
        <v>650</v>
      </c>
    </row>
    <row r="99" spans="1:1">
      <c r="A99" s="34" t="s">
        <v>651</v>
      </c>
    </row>
    <row r="100" spans="1:1">
      <c r="A100" s="34" t="s">
        <v>652</v>
      </c>
    </row>
    <row r="101" spans="1:1">
      <c r="A101" s="34" t="s">
        <v>653</v>
      </c>
    </row>
    <row r="102" spans="1:1">
      <c r="A102" s="34" t="s">
        <v>654</v>
      </c>
    </row>
    <row r="103" spans="1:1">
      <c r="A103" s="34" t="s">
        <v>655</v>
      </c>
    </row>
    <row r="104" spans="1:1">
      <c r="A104" s="34" t="s">
        <v>656</v>
      </c>
    </row>
    <row r="105" spans="1:1">
      <c r="A105" s="34" t="s">
        <v>657</v>
      </c>
    </row>
    <row r="106" spans="1:1">
      <c r="A106" s="34" t="s">
        <v>658</v>
      </c>
    </row>
    <row r="107" spans="1:1">
      <c r="A107" s="34" t="s">
        <v>659</v>
      </c>
    </row>
    <row r="108" spans="1:1">
      <c r="A108" s="34" t="s">
        <v>660</v>
      </c>
    </row>
    <row r="109" spans="1:1">
      <c r="A109" s="34" t="s">
        <v>661</v>
      </c>
    </row>
    <row r="110" spans="1:1">
      <c r="A110" s="34" t="s">
        <v>662</v>
      </c>
    </row>
    <row r="111" spans="1:1">
      <c r="A111" s="34" t="s">
        <v>663</v>
      </c>
    </row>
    <row r="112" spans="1:1">
      <c r="A112" s="34" t="s">
        <v>664</v>
      </c>
    </row>
    <row r="113" spans="1:1">
      <c r="A113" s="34" t="s">
        <v>665</v>
      </c>
    </row>
    <row r="114" spans="1:1">
      <c r="A114" s="34" t="s">
        <v>666</v>
      </c>
    </row>
    <row r="115" spans="1:1">
      <c r="A115" s="34" t="s">
        <v>667</v>
      </c>
    </row>
    <row r="116" spans="1:1">
      <c r="A116" s="34" t="s">
        <v>668</v>
      </c>
    </row>
    <row r="120" spans="1:1">
      <c r="A120" s="34" t="s">
        <v>339</v>
      </c>
    </row>
    <row r="121" spans="1:1">
      <c r="A121" s="34" t="s">
        <v>669</v>
      </c>
    </row>
    <row r="122" spans="1:1">
      <c r="A122" s="34" t="s">
        <v>670</v>
      </c>
    </row>
    <row r="126" spans="1:1">
      <c r="A126" s="34" t="s">
        <v>340</v>
      </c>
    </row>
    <row r="127" spans="1:1">
      <c r="A127" s="34"/>
    </row>
    <row r="130" spans="1:1">
      <c r="A130" s="34" t="s">
        <v>341</v>
      </c>
    </row>
    <row r="131" spans="1:1">
      <c r="A131" s="34" t="s">
        <v>671</v>
      </c>
    </row>
    <row r="132" spans="1:1">
      <c r="A132" s="34" t="s">
        <v>672</v>
      </c>
    </row>
    <row r="133" spans="1:1">
      <c r="A133" s="34" t="s">
        <v>673</v>
      </c>
    </row>
    <row r="137" spans="1:1">
      <c r="A137" s="34" t="s">
        <v>342</v>
      </c>
    </row>
    <row r="138" spans="1:1">
      <c r="A138" s="34" t="s">
        <v>674</v>
      </c>
    </row>
    <row r="139" spans="1:1">
      <c r="A139" s="34" t="s">
        <v>675</v>
      </c>
    </row>
    <row r="140" spans="1:1">
      <c r="A140" s="34" t="s">
        <v>676</v>
      </c>
    </row>
    <row r="141" spans="1:1">
      <c r="A141" s="34" t="s">
        <v>677</v>
      </c>
    </row>
    <row r="142" spans="1:1">
      <c r="A142" s="34" t="s">
        <v>678</v>
      </c>
    </row>
    <row r="143" spans="1:1">
      <c r="A143" s="34" t="s">
        <v>679</v>
      </c>
    </row>
    <row r="144" spans="1:1">
      <c r="A144" s="34" t="s">
        <v>680</v>
      </c>
    </row>
    <row r="145" spans="1:1">
      <c r="A145" s="34" t="s">
        <v>681</v>
      </c>
    </row>
    <row r="146" spans="1:1">
      <c r="A146" s="34" t="s">
        <v>682</v>
      </c>
    </row>
    <row r="147" spans="1:1">
      <c r="A147" s="34" t="s">
        <v>683</v>
      </c>
    </row>
    <row r="148" spans="1:1">
      <c r="A148" s="34" t="s">
        <v>684</v>
      </c>
    </row>
    <row r="149" spans="1:1">
      <c r="A149" s="34" t="s">
        <v>685</v>
      </c>
    </row>
    <row r="150" spans="1:1">
      <c r="A150" s="34" t="s">
        <v>686</v>
      </c>
    </row>
    <row r="151" spans="1:1">
      <c r="A151" s="34" t="s">
        <v>687</v>
      </c>
    </row>
    <row r="152" spans="1:1">
      <c r="A152" s="34" t="s">
        <v>688</v>
      </c>
    </row>
    <row r="153" spans="1:1">
      <c r="A153" s="34" t="s">
        <v>689</v>
      </c>
    </row>
    <row r="154" spans="1:1">
      <c r="A154" s="34" t="s">
        <v>690</v>
      </c>
    </row>
    <row r="155" spans="1:1">
      <c r="A155" s="34" t="s">
        <v>836</v>
      </c>
    </row>
    <row r="156" spans="1:1">
      <c r="A156" s="34" t="s">
        <v>837</v>
      </c>
    </row>
    <row r="157" spans="1:1">
      <c r="A157" s="34" t="s">
        <v>838</v>
      </c>
    </row>
    <row r="158" spans="1:1">
      <c r="A158" s="34" t="s">
        <v>839</v>
      </c>
    </row>
    <row r="159" spans="1:1">
      <c r="A159" s="34" t="s">
        <v>840</v>
      </c>
    </row>
    <row r="160" spans="1:1">
      <c r="A160" s="34" t="s">
        <v>841</v>
      </c>
    </row>
    <row r="161" spans="1:1">
      <c r="A161" s="34" t="s">
        <v>842</v>
      </c>
    </row>
    <row r="162" spans="1:1">
      <c r="A162" s="34" t="s">
        <v>843</v>
      </c>
    </row>
    <row r="163" spans="1:1">
      <c r="A163" s="34" t="s">
        <v>844</v>
      </c>
    </row>
    <row r="164" spans="1:1">
      <c r="A164" s="34" t="s">
        <v>845</v>
      </c>
    </row>
    <row r="165" spans="1:1">
      <c r="A165" s="34" t="s">
        <v>846</v>
      </c>
    </row>
    <row r="166" spans="1:1">
      <c r="A166" s="34" t="s">
        <v>847</v>
      </c>
    </row>
    <row r="167" spans="1:1">
      <c r="A167" s="34" t="s">
        <v>848</v>
      </c>
    </row>
    <row r="168" spans="1:1">
      <c r="A168" s="34" t="s">
        <v>849</v>
      </c>
    </row>
    <row r="169" spans="1:1">
      <c r="A169" s="34" t="s">
        <v>850</v>
      </c>
    </row>
    <row r="170" spans="1:1">
      <c r="A170" s="34" t="s">
        <v>851</v>
      </c>
    </row>
    <row r="171" spans="1:1">
      <c r="A171" s="34" t="s">
        <v>852</v>
      </c>
    </row>
    <row r="172" spans="1:1">
      <c r="A172" s="34" t="s">
        <v>853</v>
      </c>
    </row>
    <row r="173" spans="1:1">
      <c r="A173" s="34" t="s">
        <v>854</v>
      </c>
    </row>
    <row r="174" spans="1:1">
      <c r="A174" s="34" t="s">
        <v>855</v>
      </c>
    </row>
    <row r="175" spans="1:1">
      <c r="A175" s="34" t="s">
        <v>856</v>
      </c>
    </row>
    <row r="176" spans="1:1">
      <c r="A176" s="34" t="s">
        <v>857</v>
      </c>
    </row>
    <row r="180" spans="1:1">
      <c r="A180" s="34" t="s">
        <v>343</v>
      </c>
    </row>
    <row r="181" spans="1:1">
      <c r="A181" s="34" t="s">
        <v>691</v>
      </c>
    </row>
    <row r="182" spans="1:1">
      <c r="A182" s="34" t="s">
        <v>692</v>
      </c>
    </row>
    <row r="186" spans="1:1">
      <c r="A186" s="34" t="s">
        <v>344</v>
      </c>
    </row>
    <row r="187" spans="1:1">
      <c r="A187" s="34" t="s">
        <v>693</v>
      </c>
    </row>
    <row r="188" spans="1:1">
      <c r="A188" s="34" t="s">
        <v>694</v>
      </c>
    </row>
    <row r="189" spans="1:1">
      <c r="A189" s="34" t="s">
        <v>695</v>
      </c>
    </row>
    <row r="190" spans="1:1">
      <c r="A190" s="34" t="s">
        <v>696</v>
      </c>
    </row>
    <row r="191" spans="1:1">
      <c r="A191" s="34" t="s">
        <v>697</v>
      </c>
    </row>
    <row r="192" spans="1:1">
      <c r="A192" s="34" t="s">
        <v>698</v>
      </c>
    </row>
    <row r="193" spans="1:1">
      <c r="A193" s="34" t="s">
        <v>699</v>
      </c>
    </row>
    <row r="194" spans="1:1">
      <c r="A194" s="34" t="s">
        <v>700</v>
      </c>
    </row>
    <row r="195" spans="1:1">
      <c r="A195" s="34" t="s">
        <v>701</v>
      </c>
    </row>
    <row r="196" spans="1:1">
      <c r="A196" s="34" t="s">
        <v>702</v>
      </c>
    </row>
    <row r="197" spans="1:1">
      <c r="A197" s="34" t="s">
        <v>703</v>
      </c>
    </row>
    <row r="198" spans="1:1">
      <c r="A198" s="34" t="s">
        <v>704</v>
      </c>
    </row>
    <row r="199" spans="1:1">
      <c r="A199" s="34" t="s">
        <v>705</v>
      </c>
    </row>
    <row r="200" spans="1:1">
      <c r="A200" s="34" t="s">
        <v>706</v>
      </c>
    </row>
    <row r="201" spans="1:1">
      <c r="A201" s="34" t="s">
        <v>707</v>
      </c>
    </row>
    <row r="202" spans="1:1">
      <c r="A202" s="34" t="s">
        <v>708</v>
      </c>
    </row>
    <row r="203" spans="1:1">
      <c r="A203" s="34" t="s">
        <v>709</v>
      </c>
    </row>
    <row r="207" spans="1:1">
      <c r="A207" s="34" t="s">
        <v>345</v>
      </c>
    </row>
    <row r="208" spans="1:1">
      <c r="A208" s="34" t="s">
        <v>710</v>
      </c>
    </row>
    <row r="209" spans="1:1">
      <c r="A209" s="34" t="s">
        <v>711</v>
      </c>
    </row>
    <row r="210" spans="1:1">
      <c r="A210" s="34" t="s">
        <v>712</v>
      </c>
    </row>
    <row r="211" spans="1:1">
      <c r="A211" s="34" t="s">
        <v>859</v>
      </c>
    </row>
    <row r="212" spans="1:1">
      <c r="A212" s="34" t="s">
        <v>713</v>
      </c>
    </row>
    <row r="213" spans="1:1">
      <c r="A213" s="34" t="s">
        <v>714</v>
      </c>
    </row>
    <row r="214" spans="1:1">
      <c r="A214" s="34" t="s">
        <v>715</v>
      </c>
    </row>
    <row r="215" spans="1:1">
      <c r="A215" s="34" t="s">
        <v>716</v>
      </c>
    </row>
    <row r="219" spans="1:1">
      <c r="A219" s="34" t="s">
        <v>526</v>
      </c>
    </row>
    <row r="220" spans="1:1">
      <c r="A220" s="34" t="s">
        <v>717</v>
      </c>
    </row>
    <row r="221" spans="1:1">
      <c r="A221" s="34" t="s">
        <v>718</v>
      </c>
    </row>
    <row r="225" spans="1:1">
      <c r="A225" s="34" t="s">
        <v>346</v>
      </c>
    </row>
    <row r="226" spans="1:1">
      <c r="A226" s="34" t="s">
        <v>719</v>
      </c>
    </row>
    <row r="227" spans="1:1">
      <c r="A227" s="34" t="s">
        <v>720</v>
      </c>
    </row>
    <row r="228" spans="1:1">
      <c r="A228" s="34" t="s">
        <v>721</v>
      </c>
    </row>
    <row r="229" spans="1:1">
      <c r="A229" s="34" t="s">
        <v>722</v>
      </c>
    </row>
    <row r="233" spans="1:1">
      <c r="A233" s="34" t="s">
        <v>347</v>
      </c>
    </row>
    <row r="234" spans="1:1">
      <c r="A234" s="34" t="s">
        <v>723</v>
      </c>
    </row>
    <row r="235" spans="1:1">
      <c r="A235" s="34" t="s">
        <v>724</v>
      </c>
    </row>
    <row r="236" spans="1:1">
      <c r="A236" s="34" t="s">
        <v>725</v>
      </c>
    </row>
    <row r="237" spans="1:1">
      <c r="A237" s="34" t="s">
        <v>726</v>
      </c>
    </row>
    <row r="241" spans="1:1">
      <c r="A241" s="34" t="s">
        <v>348</v>
      </c>
    </row>
    <row r="242" spans="1:1">
      <c r="A242" s="34" t="s">
        <v>727</v>
      </c>
    </row>
    <row r="243" spans="1:1">
      <c r="A243" s="34" t="s">
        <v>728</v>
      </c>
    </row>
    <row r="244" spans="1:1">
      <c r="A244" s="34" t="s">
        <v>729</v>
      </c>
    </row>
    <row r="245" spans="1:1">
      <c r="A245" s="34" t="s">
        <v>730</v>
      </c>
    </row>
    <row r="246" spans="1:1">
      <c r="A246" s="34" t="s">
        <v>731</v>
      </c>
    </row>
    <row r="250" spans="1:1">
      <c r="A250" s="34" t="s">
        <v>349</v>
      </c>
    </row>
    <row r="251" spans="1:1">
      <c r="A251" s="34" t="s">
        <v>732</v>
      </c>
    </row>
    <row r="252" spans="1:1">
      <c r="A252" s="34" t="s">
        <v>733</v>
      </c>
    </row>
    <row r="253" spans="1:1">
      <c r="A253" s="34" t="s">
        <v>734</v>
      </c>
    </row>
    <row r="254" spans="1:1">
      <c r="A254" s="34" t="s">
        <v>735</v>
      </c>
    </row>
    <row r="258" spans="1:1">
      <c r="A258" s="34" t="s">
        <v>350</v>
      </c>
    </row>
    <row r="259" spans="1:1">
      <c r="A259" s="34" t="s">
        <v>736</v>
      </c>
    </row>
    <row r="260" spans="1:1">
      <c r="A260" s="34" t="s">
        <v>737</v>
      </c>
    </row>
    <row r="261" spans="1:1">
      <c r="A261" s="34" t="s">
        <v>738</v>
      </c>
    </row>
    <row r="262" spans="1:1">
      <c r="A262" s="34" t="s">
        <v>739</v>
      </c>
    </row>
    <row r="263" spans="1:1">
      <c r="A263" s="34" t="s">
        <v>740</v>
      </c>
    </row>
    <row r="264" spans="1:1">
      <c r="A264" s="34" t="s">
        <v>741</v>
      </c>
    </row>
    <row r="265" spans="1:1">
      <c r="A265" s="34" t="s">
        <v>742</v>
      </c>
    </row>
    <row r="266" spans="1:1">
      <c r="A266" s="34" t="s">
        <v>743</v>
      </c>
    </row>
    <row r="267" spans="1:1">
      <c r="A267" s="34" t="s">
        <v>744</v>
      </c>
    </row>
    <row r="268" spans="1:1">
      <c r="A268" s="34" t="s">
        <v>797</v>
      </c>
    </row>
    <row r="269" spans="1:1">
      <c r="A269" s="34" t="s">
        <v>798</v>
      </c>
    </row>
    <row r="270" spans="1:1">
      <c r="A270" s="34" t="s">
        <v>799</v>
      </c>
    </row>
    <row r="271" spans="1:1">
      <c r="A271" s="34" t="s">
        <v>800</v>
      </c>
    </row>
    <row r="272" spans="1:1">
      <c r="A272" s="34" t="s">
        <v>801</v>
      </c>
    </row>
    <row r="273" spans="1:1">
      <c r="A273" s="34" t="s">
        <v>802</v>
      </c>
    </row>
    <row r="274" spans="1:1">
      <c r="A274" s="34" t="s">
        <v>803</v>
      </c>
    </row>
    <row r="275" spans="1:1">
      <c r="A275" s="34" t="s">
        <v>804</v>
      </c>
    </row>
    <row r="279" spans="1:1">
      <c r="A279" s="34" t="s">
        <v>351</v>
      </c>
    </row>
    <row r="280" spans="1:1">
      <c r="A280" s="34" t="s">
        <v>745</v>
      </c>
    </row>
    <row r="281" spans="1:1">
      <c r="A281" s="34" t="s">
        <v>746</v>
      </c>
    </row>
    <row r="282" spans="1:1">
      <c r="A282" s="34" t="s">
        <v>747</v>
      </c>
    </row>
    <row r="283" spans="1:1">
      <c r="A283" s="34" t="s">
        <v>748</v>
      </c>
    </row>
    <row r="284" spans="1:1">
      <c r="A284" s="34" t="s">
        <v>749</v>
      </c>
    </row>
    <row r="285" spans="1:1">
      <c r="A285" s="34" t="s">
        <v>750</v>
      </c>
    </row>
    <row r="286" spans="1:1">
      <c r="A286" s="34" t="s">
        <v>751</v>
      </c>
    </row>
    <row r="287" spans="1:1">
      <c r="A287" s="34" t="s">
        <v>752</v>
      </c>
    </row>
    <row r="291" spans="1:1">
      <c r="A291" s="34" t="s">
        <v>527</v>
      </c>
    </row>
    <row r="292" spans="1:1">
      <c r="A292" s="34" t="s">
        <v>753</v>
      </c>
    </row>
    <row r="293" spans="1:1">
      <c r="A293" s="34" t="s">
        <v>754</v>
      </c>
    </row>
    <row r="294" spans="1:1">
      <c r="A294" s="34" t="s">
        <v>755</v>
      </c>
    </row>
    <row r="295" spans="1:1">
      <c r="A295" s="34" t="s">
        <v>756</v>
      </c>
    </row>
    <row r="299" spans="1:1">
      <c r="A299" s="34" t="s">
        <v>352</v>
      </c>
    </row>
    <row r="300" spans="1:1">
      <c r="A300" s="34" t="s">
        <v>757</v>
      </c>
    </row>
    <row r="301" spans="1:1">
      <c r="A301" s="34" t="s">
        <v>758</v>
      </c>
    </row>
    <row r="302" spans="1:1">
      <c r="A302" s="34" t="s">
        <v>759</v>
      </c>
    </row>
    <row r="303" spans="1:1">
      <c r="A303" s="34" t="s">
        <v>760</v>
      </c>
    </row>
    <row r="307" spans="1:1">
      <c r="A307" s="34" t="s">
        <v>353</v>
      </c>
    </row>
    <row r="308" spans="1:1">
      <c r="A308" s="34" t="s">
        <v>761</v>
      </c>
    </row>
    <row r="309" spans="1:1">
      <c r="A309" s="34" t="s">
        <v>762</v>
      </c>
    </row>
    <row r="310" spans="1:1">
      <c r="A310" s="34" t="s">
        <v>763</v>
      </c>
    </row>
    <row r="311" spans="1:1">
      <c r="A311" s="34" t="s">
        <v>764</v>
      </c>
    </row>
    <row r="312" spans="1:1">
      <c r="A312" s="34" t="s">
        <v>765</v>
      </c>
    </row>
    <row r="313" spans="1:1">
      <c r="A313" s="34" t="s">
        <v>766</v>
      </c>
    </row>
    <row r="314" spans="1:1">
      <c r="A314" s="34" t="s">
        <v>767</v>
      </c>
    </row>
    <row r="315" spans="1:1">
      <c r="A315" s="34" t="s">
        <v>768</v>
      </c>
    </row>
    <row r="319" spans="1:1">
      <c r="A319" s="34" t="s">
        <v>354</v>
      </c>
    </row>
    <row r="320" spans="1:1">
      <c r="A320" s="34" t="s">
        <v>769</v>
      </c>
    </row>
    <row r="321" spans="1:1">
      <c r="A321" s="34" t="s">
        <v>770</v>
      </c>
    </row>
    <row r="322" spans="1:1">
      <c r="A322" s="34" t="s">
        <v>771</v>
      </c>
    </row>
    <row r="323" spans="1:1">
      <c r="A323" s="34" t="s">
        <v>772</v>
      </c>
    </row>
    <row r="324" spans="1:1">
      <c r="A324" s="34" t="s">
        <v>773</v>
      </c>
    </row>
    <row r="325" spans="1:1">
      <c r="A325" s="34" t="s">
        <v>774</v>
      </c>
    </row>
    <row r="326" spans="1:1">
      <c r="A326" s="34" t="s">
        <v>775</v>
      </c>
    </row>
    <row r="330" spans="1:1">
      <c r="A330" s="34" t="s">
        <v>355</v>
      </c>
    </row>
    <row r="331" spans="1:1">
      <c r="A331" s="34" t="s">
        <v>776</v>
      </c>
    </row>
    <row r="332" spans="1:1">
      <c r="A332" s="34" t="s">
        <v>777</v>
      </c>
    </row>
    <row r="333" spans="1:1">
      <c r="A333" s="34" t="s">
        <v>778</v>
      </c>
    </row>
    <row r="337" spans="1:1">
      <c r="A337" s="34" t="s">
        <v>528</v>
      </c>
    </row>
    <row r="338" spans="1:1">
      <c r="A338" s="34" t="s">
        <v>779</v>
      </c>
    </row>
    <row r="339" spans="1:1">
      <c r="A339" s="34" t="s">
        <v>780</v>
      </c>
    </row>
    <row r="340" spans="1:1">
      <c r="A340" s="34" t="s">
        <v>781</v>
      </c>
    </row>
    <row r="341" spans="1:1">
      <c r="A341" s="34" t="s">
        <v>782</v>
      </c>
    </row>
    <row r="342" spans="1:1">
      <c r="A342" s="34" t="s">
        <v>783</v>
      </c>
    </row>
    <row r="343" spans="1:1">
      <c r="A343" s="34" t="s">
        <v>784</v>
      </c>
    </row>
    <row r="347" spans="1:1">
      <c r="A347" s="34" t="s">
        <v>529</v>
      </c>
    </row>
    <row r="348" spans="1:1">
      <c r="A348" s="34" t="s">
        <v>785</v>
      </c>
    </row>
    <row r="349" spans="1:1">
      <c r="A349" s="34" t="s">
        <v>786</v>
      </c>
    </row>
    <row r="350" spans="1:1">
      <c r="A350" s="34" t="s">
        <v>787</v>
      </c>
    </row>
    <row r="351" spans="1:1">
      <c r="A351" s="34" t="s">
        <v>788</v>
      </c>
    </row>
    <row r="352" spans="1:1">
      <c r="A352" s="34" t="s">
        <v>789</v>
      </c>
    </row>
    <row r="356" spans="1:1">
      <c r="A356" s="34" t="s">
        <v>530</v>
      </c>
    </row>
    <row r="357" spans="1:1">
      <c r="A357" s="34" t="s">
        <v>790</v>
      </c>
    </row>
    <row r="358" spans="1:1">
      <c r="A358" s="34" t="s">
        <v>791</v>
      </c>
    </row>
    <row r="359" spans="1:1">
      <c r="A359" s="34" t="s">
        <v>792</v>
      </c>
    </row>
    <row r="360" spans="1:1">
      <c r="A360" s="34" t="s">
        <v>793</v>
      </c>
    </row>
    <row r="361" spans="1:1">
      <c r="A361" s="34" t="s">
        <v>794</v>
      </c>
    </row>
    <row r="362" spans="1:1">
      <c r="A362" s="34" t="s">
        <v>795</v>
      </c>
    </row>
    <row r="363" spans="1:1">
      <c r="A363" s="34" t="s">
        <v>796</v>
      </c>
    </row>
    <row r="367" spans="1:1">
      <c r="A367" s="34"/>
    </row>
  </sheetData>
  <dataConsolidate/>
  <dataValidations count="2">
    <dataValidation type="list" allowBlank="1" showInputMessage="1" showErrorMessage="1" sqref="E356">
      <formula1>"H._Other_6"</formula1>
    </dataValidation>
    <dataValidation type="list" allowBlank="1" showInputMessage="1" showErrorMessage="1" sqref="D2">
      <formula1>"_4-_Coring"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13"/>
  <sheetViews>
    <sheetView showGridLines="0" view="pageBreakPreview" zoomScaleNormal="25" zoomScaleSheetLayoutView="100" workbookViewId="0">
      <selection activeCell="N19" sqref="N19"/>
    </sheetView>
  </sheetViews>
  <sheetFormatPr baseColWidth="10" defaultColWidth="9.140625" defaultRowHeight="12.75"/>
  <cols>
    <col min="1" max="1" width="9" customWidth="1"/>
    <col min="2" max="2" width="8.42578125" customWidth="1"/>
    <col min="3" max="3" width="7.7109375" customWidth="1"/>
    <col min="4" max="5" width="10.140625" customWidth="1"/>
    <col min="6" max="7" width="15" customWidth="1"/>
    <col min="8" max="8" width="15.7109375" customWidth="1"/>
    <col min="9" max="9" width="12.42578125" customWidth="1"/>
    <col min="10" max="10" width="13.7109375" customWidth="1"/>
    <col min="11" max="11" width="12.42578125" customWidth="1"/>
    <col min="12" max="12" width="11.28515625" customWidth="1"/>
    <col min="13" max="13" width="11.5703125" customWidth="1"/>
    <col min="14" max="14" width="14.5703125" customWidth="1"/>
    <col min="15" max="15" width="17.28515625" customWidth="1"/>
  </cols>
  <sheetData>
    <row r="1" spans="1:18" ht="13.5" thickBot="1">
      <c r="A1" s="481" t="s">
        <v>75</v>
      </c>
      <c r="B1" s="648"/>
      <c r="C1" s="648"/>
      <c r="D1" s="648"/>
      <c r="E1" s="648"/>
      <c r="F1" s="648"/>
      <c r="G1" s="648"/>
      <c r="H1" s="648"/>
      <c r="I1" s="648"/>
      <c r="J1" s="648"/>
      <c r="K1" s="648"/>
      <c r="L1" s="648"/>
      <c r="M1" s="648"/>
      <c r="N1" s="648"/>
      <c r="O1" s="482"/>
    </row>
    <row r="2" spans="1:18" ht="13.5" thickBot="1">
      <c r="A2" s="649" t="s">
        <v>61</v>
      </c>
      <c r="B2" s="650"/>
      <c r="C2" s="651"/>
      <c r="D2" s="652" t="s">
        <v>62</v>
      </c>
      <c r="E2" s="652" t="s">
        <v>63</v>
      </c>
      <c r="F2" s="652" t="s">
        <v>64</v>
      </c>
      <c r="G2" s="654" t="s">
        <v>65</v>
      </c>
      <c r="H2" s="656" t="s">
        <v>85</v>
      </c>
      <c r="I2" s="657"/>
      <c r="J2" s="657"/>
      <c r="K2" s="657"/>
      <c r="L2" s="658" t="s">
        <v>66</v>
      </c>
      <c r="M2" s="326"/>
      <c r="N2" s="326"/>
      <c r="O2" s="40" t="s">
        <v>67</v>
      </c>
    </row>
    <row r="3" spans="1:18">
      <c r="A3" s="80"/>
      <c r="B3" s="81" t="s">
        <v>68</v>
      </c>
      <c r="C3" s="82" t="s">
        <v>69</v>
      </c>
      <c r="D3" s="653"/>
      <c r="E3" s="653"/>
      <c r="F3" s="653"/>
      <c r="G3" s="655"/>
      <c r="H3" s="18" t="s">
        <v>50</v>
      </c>
      <c r="I3" s="18" t="s">
        <v>51</v>
      </c>
      <c r="J3" s="18" t="s">
        <v>26</v>
      </c>
      <c r="K3" s="18" t="s">
        <v>52</v>
      </c>
      <c r="L3" s="659"/>
      <c r="M3" s="41"/>
      <c r="N3" s="41"/>
      <c r="O3" s="42"/>
    </row>
    <row r="4" spans="1:18">
      <c r="A4" s="78" t="s">
        <v>5</v>
      </c>
      <c r="B4" s="43">
        <v>0</v>
      </c>
      <c r="C4" s="43">
        <v>115</v>
      </c>
      <c r="D4" s="660"/>
      <c r="E4" s="44"/>
      <c r="F4" s="44">
        <v>1</v>
      </c>
      <c r="G4" s="45">
        <v>1</v>
      </c>
      <c r="H4" s="9"/>
      <c r="I4" s="6"/>
      <c r="J4" s="6"/>
      <c r="K4" s="10"/>
      <c r="L4" s="662" t="s">
        <v>70</v>
      </c>
      <c r="M4" s="41"/>
      <c r="N4" s="333"/>
      <c r="O4" s="46"/>
    </row>
    <row r="5" spans="1:18">
      <c r="A5" s="78" t="s">
        <v>71</v>
      </c>
      <c r="B5" s="47">
        <v>0</v>
      </c>
      <c r="C5" s="47">
        <v>50</v>
      </c>
      <c r="D5" s="660"/>
      <c r="E5" s="44"/>
      <c r="F5" s="44">
        <v>1</v>
      </c>
      <c r="G5" s="45">
        <v>1</v>
      </c>
      <c r="H5" s="336"/>
      <c r="I5" s="6"/>
      <c r="J5" s="6"/>
      <c r="K5" s="10"/>
      <c r="L5" s="659"/>
      <c r="M5" s="335"/>
      <c r="N5" s="48"/>
      <c r="O5" s="49"/>
      <c r="R5" s="334"/>
    </row>
    <row r="6" spans="1:18" ht="13.5" thickBot="1">
      <c r="A6" s="79" t="s">
        <v>72</v>
      </c>
      <c r="B6" s="50"/>
      <c r="C6" s="85"/>
      <c r="D6" s="661"/>
      <c r="E6" s="51"/>
      <c r="F6" s="51"/>
      <c r="G6" s="52"/>
      <c r="H6" s="11"/>
      <c r="I6" s="12"/>
      <c r="J6" s="12"/>
      <c r="K6" s="13"/>
      <c r="L6" s="19"/>
      <c r="M6" s="335"/>
      <c r="N6" s="53"/>
      <c r="O6" s="54"/>
    </row>
    <row r="7" spans="1:18" ht="13.5" thickBot="1">
      <c r="A7" s="656" t="s">
        <v>53</v>
      </c>
      <c r="B7" s="657"/>
      <c r="C7" s="663"/>
      <c r="D7" s="14"/>
      <c r="E7" s="4"/>
      <c r="F7" s="8"/>
      <c r="G7" s="8"/>
      <c r="H7" s="8"/>
      <c r="I7" s="8"/>
      <c r="J7" s="8"/>
      <c r="K7" s="8"/>
      <c r="L7" s="8"/>
      <c r="M7" s="3"/>
      <c r="N7" s="3"/>
      <c r="O7" s="15"/>
    </row>
    <row r="8" spans="1:18">
      <c r="A8" s="83" t="s">
        <v>54</v>
      </c>
      <c r="B8" s="84" t="s">
        <v>55</v>
      </c>
      <c r="C8" s="367" t="s">
        <v>56</v>
      </c>
      <c r="D8" s="14"/>
      <c r="E8" s="4"/>
      <c r="F8" s="3"/>
      <c r="G8" s="6"/>
      <c r="H8" s="6"/>
      <c r="I8" s="6"/>
      <c r="J8" s="6"/>
      <c r="K8" s="6"/>
      <c r="L8" s="6"/>
      <c r="M8" s="6"/>
      <c r="N8" s="6"/>
      <c r="O8" s="10"/>
    </row>
    <row r="9" spans="1:18" ht="13.5" thickBot="1">
      <c r="A9" s="55"/>
      <c r="B9" s="646"/>
      <c r="C9" s="647"/>
      <c r="D9" s="14"/>
      <c r="E9" s="95"/>
      <c r="F9" s="3"/>
      <c r="G9" s="3"/>
      <c r="H9" s="3"/>
      <c r="I9" s="3"/>
      <c r="J9" s="3"/>
      <c r="K9" s="3"/>
      <c r="L9" s="3"/>
      <c r="M9" s="3"/>
      <c r="N9" s="3"/>
      <c r="O9" s="15"/>
    </row>
    <row r="10" spans="1:18">
      <c r="A10" s="16"/>
      <c r="B10" s="5"/>
      <c r="C10" s="5"/>
      <c r="D10" s="4"/>
      <c r="E10" s="4"/>
      <c r="F10" s="3"/>
      <c r="G10" s="7"/>
      <c r="H10" s="7"/>
      <c r="I10" s="7"/>
      <c r="J10" s="7"/>
      <c r="K10" s="7"/>
      <c r="L10" s="7"/>
      <c r="M10" s="7"/>
      <c r="N10" s="7"/>
      <c r="O10" s="17"/>
    </row>
    <row r="11" spans="1:18" ht="13.5" thickBot="1">
      <c r="A11" s="86"/>
      <c r="B11" s="87"/>
      <c r="C11" s="87"/>
      <c r="D11" s="88"/>
      <c r="E11" s="88"/>
      <c r="F11" s="89"/>
      <c r="G11" s="260"/>
      <c r="H11" s="260"/>
      <c r="I11" s="260"/>
      <c r="J11" s="260"/>
      <c r="K11" s="260"/>
      <c r="L11" s="260"/>
      <c r="M11" s="260"/>
      <c r="N11" s="6"/>
      <c r="O11" s="1"/>
    </row>
    <row r="12" spans="1:18" ht="16.5" customHeight="1">
      <c r="A12" s="685" t="s">
        <v>508</v>
      </c>
      <c r="B12" s="686"/>
      <c r="C12" s="270"/>
      <c r="D12" s="266" t="s">
        <v>510</v>
      </c>
      <c r="E12" s="687" t="s">
        <v>512</v>
      </c>
      <c r="F12" s="272"/>
      <c r="G12" s="673" t="s">
        <v>513</v>
      </c>
      <c r="H12" s="272"/>
      <c r="I12" s="268" t="s">
        <v>514</v>
      </c>
      <c r="J12" s="673" t="s">
        <v>512</v>
      </c>
      <c r="K12" s="272"/>
      <c r="L12" s="673" t="s">
        <v>513</v>
      </c>
      <c r="M12" s="275"/>
      <c r="N12" s="258"/>
      <c r="O12" s="17"/>
    </row>
    <row r="13" spans="1:18" ht="13.5" thickBot="1">
      <c r="A13" s="683" t="s">
        <v>509</v>
      </c>
      <c r="B13" s="684"/>
      <c r="C13" s="271"/>
      <c r="D13" s="267" t="s">
        <v>511</v>
      </c>
      <c r="E13" s="688"/>
      <c r="F13" s="273"/>
      <c r="G13" s="674"/>
      <c r="H13" s="274"/>
      <c r="I13" s="269"/>
      <c r="J13" s="674"/>
      <c r="K13" s="274"/>
      <c r="L13" s="674"/>
      <c r="M13" s="276"/>
      <c r="N13" s="259"/>
      <c r="O13" s="15"/>
    </row>
    <row r="14" spans="1:18">
      <c r="A14" s="261"/>
      <c r="B14" s="262"/>
      <c r="C14" s="262"/>
      <c r="D14" s="263"/>
      <c r="E14" s="263"/>
      <c r="F14" s="8"/>
      <c r="G14" s="8"/>
      <c r="H14" s="8"/>
      <c r="I14" s="8"/>
      <c r="J14" s="8"/>
      <c r="K14" s="8"/>
      <c r="L14" s="8"/>
      <c r="M14" s="8"/>
      <c r="N14" s="3"/>
      <c r="O14" s="15"/>
    </row>
    <row r="15" spans="1:18" ht="13.5" thickBot="1">
      <c r="A15" s="86"/>
      <c r="B15" s="87"/>
      <c r="C15" s="87"/>
      <c r="D15" s="88"/>
      <c r="E15" s="88"/>
      <c r="F15" s="89"/>
      <c r="G15" s="89"/>
      <c r="H15" s="89"/>
      <c r="I15" s="89"/>
      <c r="J15" s="89"/>
      <c r="K15" s="89"/>
      <c r="L15" s="89"/>
      <c r="M15" s="89"/>
      <c r="N15" s="89"/>
      <c r="O15" s="90"/>
    </row>
    <row r="16" spans="1:18">
      <c r="A16" s="670" t="s">
        <v>518</v>
      </c>
      <c r="B16" s="671"/>
      <c r="C16" s="671"/>
      <c r="D16" s="671"/>
      <c r="E16" s="671"/>
      <c r="F16" s="671"/>
      <c r="G16" s="671"/>
      <c r="H16" s="671"/>
      <c r="I16" s="289"/>
      <c r="J16" s="679"/>
      <c r="K16" s="679"/>
      <c r="L16" s="679"/>
      <c r="M16" s="680"/>
      <c r="N16" s="675" t="s">
        <v>515</v>
      </c>
      <c r="O16" s="676"/>
    </row>
    <row r="17" spans="1:15" ht="12.75" customHeight="1">
      <c r="A17" s="681" t="s">
        <v>25</v>
      </c>
      <c r="B17" s="682"/>
      <c r="C17" s="689" t="s">
        <v>26</v>
      </c>
      <c r="D17" s="691" t="s">
        <v>442</v>
      </c>
      <c r="E17" s="691" t="s">
        <v>443</v>
      </c>
      <c r="F17" s="664" t="s">
        <v>519</v>
      </c>
      <c r="G17" s="665"/>
      <c r="H17" s="665"/>
      <c r="I17" s="665"/>
      <c r="J17" s="665"/>
      <c r="K17" s="665"/>
      <c r="L17" s="665"/>
      <c r="M17" s="666"/>
      <c r="N17" s="677"/>
      <c r="O17" s="678"/>
    </row>
    <row r="18" spans="1:15" ht="22.5">
      <c r="A18" s="313" t="s">
        <v>73</v>
      </c>
      <c r="B18" s="314" t="s">
        <v>74</v>
      </c>
      <c r="C18" s="690"/>
      <c r="D18" s="692"/>
      <c r="E18" s="692"/>
      <c r="F18" s="667"/>
      <c r="G18" s="668"/>
      <c r="H18" s="668"/>
      <c r="I18" s="668"/>
      <c r="J18" s="668"/>
      <c r="K18" s="668"/>
      <c r="L18" s="668"/>
      <c r="M18" s="669"/>
      <c r="N18" s="280" t="s">
        <v>516</v>
      </c>
      <c r="O18" s="279" t="s">
        <v>517</v>
      </c>
    </row>
    <row r="19" spans="1:15" ht="78.75" customHeight="1">
      <c r="A19" s="291">
        <v>0</v>
      </c>
      <c r="B19" s="327">
        <v>0.25</v>
      </c>
      <c r="C19" s="292">
        <f>B19-A19</f>
        <v>0.25</v>
      </c>
      <c r="D19" s="332" t="s">
        <v>28</v>
      </c>
      <c r="E19" s="265">
        <v>6</v>
      </c>
      <c r="F19" s="643" t="s">
        <v>899</v>
      </c>
      <c r="G19" s="644"/>
      <c r="H19" s="644"/>
      <c r="I19" s="644"/>
      <c r="J19" s="644"/>
      <c r="K19" s="644"/>
      <c r="L19" s="644"/>
      <c r="M19" s="645"/>
      <c r="N19" s="369" t="s">
        <v>897</v>
      </c>
      <c r="O19" s="368" t="s">
        <v>898</v>
      </c>
    </row>
    <row r="20" spans="1:15" ht="50.25" customHeight="1">
      <c r="A20" s="291"/>
      <c r="B20" s="327"/>
      <c r="C20" s="292"/>
      <c r="D20" s="265"/>
      <c r="E20" s="265"/>
      <c r="F20" s="642"/>
      <c r="G20" s="637"/>
      <c r="H20" s="637"/>
      <c r="I20" s="637"/>
      <c r="J20" s="637"/>
      <c r="K20" s="637"/>
      <c r="L20" s="637"/>
      <c r="M20" s="638"/>
      <c r="N20" s="281"/>
      <c r="O20" s="277"/>
    </row>
    <row r="21" spans="1:15" ht="54.75" customHeight="1">
      <c r="A21" s="291"/>
      <c r="B21" s="327"/>
      <c r="C21" s="292"/>
      <c r="D21" s="265"/>
      <c r="E21" s="265"/>
      <c r="F21" s="634"/>
      <c r="G21" s="637"/>
      <c r="H21" s="637"/>
      <c r="I21" s="637"/>
      <c r="J21" s="637"/>
      <c r="K21" s="637"/>
      <c r="L21" s="637"/>
      <c r="M21" s="638"/>
      <c r="N21" s="258"/>
      <c r="O21" s="15"/>
    </row>
    <row r="22" spans="1:15" ht="81.75" customHeight="1">
      <c r="A22" s="291"/>
      <c r="B22" s="292"/>
      <c r="C22" s="292"/>
      <c r="D22" s="265"/>
      <c r="E22" s="265"/>
      <c r="F22" s="634" t="s">
        <v>888</v>
      </c>
      <c r="G22" s="637"/>
      <c r="H22" s="637"/>
      <c r="I22" s="637"/>
      <c r="J22" s="637"/>
      <c r="K22" s="637"/>
      <c r="L22" s="637"/>
      <c r="M22" s="638"/>
      <c r="N22" s="258"/>
      <c r="O22" s="15"/>
    </row>
    <row r="23" spans="1:15" ht="1.5" hidden="1" customHeight="1">
      <c r="A23" s="329"/>
      <c r="B23" s="292"/>
      <c r="C23" s="292">
        <f t="shared" ref="C23:C26" si="0">B23-A23</f>
        <v>0</v>
      </c>
      <c r="D23" s="265"/>
      <c r="E23" s="265"/>
      <c r="F23" s="634"/>
      <c r="G23" s="637"/>
      <c r="H23" s="637"/>
      <c r="I23" s="637"/>
      <c r="J23" s="637"/>
      <c r="K23" s="637"/>
      <c r="L23" s="637"/>
      <c r="M23" s="638"/>
      <c r="N23" s="258"/>
      <c r="O23" s="15"/>
    </row>
    <row r="24" spans="1:15" ht="51" hidden="1" customHeight="1">
      <c r="A24" s="329"/>
      <c r="B24" s="292"/>
      <c r="C24" s="292">
        <f t="shared" si="0"/>
        <v>0</v>
      </c>
      <c r="D24" s="265"/>
      <c r="E24" s="265"/>
      <c r="F24" s="634"/>
      <c r="G24" s="635"/>
      <c r="H24" s="635"/>
      <c r="I24" s="635"/>
      <c r="J24" s="635"/>
      <c r="K24" s="635"/>
      <c r="L24" s="635"/>
      <c r="M24" s="636"/>
      <c r="N24" s="282"/>
      <c r="O24" s="90"/>
    </row>
    <row r="25" spans="1:15" ht="48" hidden="1" customHeight="1">
      <c r="A25" s="293"/>
      <c r="B25" s="294"/>
      <c r="C25" s="294">
        <f t="shared" si="0"/>
        <v>0</v>
      </c>
      <c r="D25" s="286"/>
      <c r="E25" s="286"/>
      <c r="F25" s="634"/>
      <c r="G25" s="637"/>
      <c r="H25" s="637"/>
      <c r="I25" s="637"/>
      <c r="J25" s="637"/>
      <c r="K25" s="637"/>
      <c r="L25" s="637"/>
      <c r="M25" s="638"/>
      <c r="N25" s="283"/>
      <c r="O25" s="91"/>
    </row>
    <row r="26" spans="1:15" ht="51.75" hidden="1" customHeight="1">
      <c r="A26" s="293"/>
      <c r="B26" s="294"/>
      <c r="C26" s="294">
        <f t="shared" si="0"/>
        <v>0</v>
      </c>
      <c r="D26" s="286"/>
      <c r="E26" s="286"/>
      <c r="F26" s="634"/>
      <c r="G26" s="637"/>
      <c r="H26" s="637"/>
      <c r="I26" s="637"/>
      <c r="J26" s="637"/>
      <c r="K26" s="637"/>
      <c r="L26" s="637"/>
      <c r="M26" s="638"/>
      <c r="N26" s="284"/>
      <c r="O26" s="92"/>
    </row>
    <row r="27" spans="1:15" ht="53.25" customHeight="1">
      <c r="A27" s="293"/>
      <c r="B27" s="294"/>
      <c r="C27" s="294"/>
      <c r="D27" s="286"/>
      <c r="E27" s="286"/>
      <c r="F27" s="634"/>
      <c r="G27" s="635"/>
      <c r="H27" s="635"/>
      <c r="I27" s="635"/>
      <c r="J27" s="635"/>
      <c r="K27" s="635"/>
      <c r="L27" s="635"/>
      <c r="M27" s="636"/>
      <c r="N27" s="283"/>
      <c r="O27" s="91"/>
    </row>
    <row r="28" spans="1:15" ht="26.25" customHeight="1" thickBot="1">
      <c r="A28" s="295"/>
      <c r="B28" s="296"/>
      <c r="C28" s="294"/>
      <c r="D28" s="288"/>
      <c r="E28" s="288"/>
      <c r="F28" s="639"/>
      <c r="G28" s="640"/>
      <c r="H28" s="640"/>
      <c r="I28" s="640"/>
      <c r="J28" s="640"/>
      <c r="K28" s="640"/>
      <c r="L28" s="640"/>
      <c r="M28" s="641"/>
      <c r="N28" s="283"/>
      <c r="O28" s="91"/>
    </row>
    <row r="29" spans="1:15" ht="13.5" thickBot="1">
      <c r="A29" s="297"/>
      <c r="B29" s="298"/>
      <c r="C29" s="298"/>
      <c r="D29" s="299"/>
      <c r="E29" s="299"/>
      <c r="F29" s="300"/>
      <c r="G29" s="285"/>
      <c r="H29" s="285"/>
      <c r="I29" s="285"/>
      <c r="J29" s="285"/>
      <c r="K29" s="285"/>
      <c r="L29" s="285"/>
      <c r="M29" s="285"/>
      <c r="N29" s="93"/>
      <c r="O29" s="94"/>
    </row>
    <row r="30" spans="1:15">
      <c r="A30" s="670"/>
      <c r="B30" s="671"/>
      <c r="C30" s="671"/>
      <c r="D30" s="671"/>
      <c r="E30" s="671"/>
      <c r="F30" s="672"/>
      <c r="G30" s="259"/>
      <c r="H30" s="7"/>
      <c r="I30" s="7"/>
      <c r="J30" s="7"/>
      <c r="K30" s="7"/>
      <c r="L30" s="7"/>
      <c r="M30" s="7"/>
      <c r="N30" s="7"/>
      <c r="O30" s="17"/>
    </row>
    <row r="31" spans="1:15" ht="13.5" thickBot="1">
      <c r="A31" s="303"/>
      <c r="B31" s="304"/>
      <c r="C31" s="305"/>
      <c r="D31" s="306"/>
      <c r="E31" s="301"/>
      <c r="F31" s="278"/>
      <c r="G31" s="258"/>
      <c r="H31" s="328"/>
      <c r="I31" s="3"/>
      <c r="J31" s="3"/>
      <c r="K31" s="3"/>
      <c r="L31" s="3"/>
      <c r="M31" s="3"/>
      <c r="N31" s="3"/>
      <c r="O31" s="15"/>
    </row>
    <row r="32" spans="1:15">
      <c r="A32" s="670"/>
      <c r="B32" s="671"/>
      <c r="C32" s="671"/>
      <c r="D32" s="672"/>
      <c r="E32" s="302"/>
      <c r="F32" s="8"/>
      <c r="G32" s="3"/>
      <c r="H32" s="324"/>
      <c r="I32" s="324"/>
      <c r="J32" s="3"/>
      <c r="K32" s="3"/>
      <c r="L32" s="3"/>
      <c r="M32" s="3"/>
      <c r="N32" s="3"/>
      <c r="O32" s="15"/>
    </row>
    <row r="33" spans="1:18" ht="20.25" customHeight="1">
      <c r="A33" s="308"/>
      <c r="B33" s="290"/>
      <c r="C33" s="290"/>
      <c r="D33" s="309"/>
      <c r="E33" s="14"/>
      <c r="F33" s="3"/>
      <c r="G33" s="3"/>
      <c r="H33" s="3"/>
      <c r="I33" s="3"/>
      <c r="J33" s="3"/>
      <c r="K33" s="3"/>
      <c r="L33" s="3"/>
      <c r="M33" s="3"/>
      <c r="N33" s="3"/>
      <c r="O33" s="15"/>
    </row>
    <row r="34" spans="1:18" ht="19.5" customHeight="1">
      <c r="A34" s="287"/>
      <c r="B34" s="264"/>
      <c r="C34" s="264"/>
      <c r="D34" s="307"/>
      <c r="E34" s="14"/>
      <c r="F34" s="3"/>
      <c r="G34" s="3"/>
      <c r="H34" s="3"/>
      <c r="I34" s="3"/>
      <c r="J34" s="3"/>
      <c r="K34" s="3"/>
      <c r="L34" s="3"/>
      <c r="M34" s="3"/>
      <c r="N34" s="3"/>
      <c r="O34" s="15"/>
    </row>
    <row r="35" spans="1:18" ht="30" customHeight="1">
      <c r="A35" s="287"/>
      <c r="B35" s="264"/>
      <c r="C35" s="264"/>
      <c r="D35" s="307"/>
      <c r="E35" s="14"/>
      <c r="F35" s="3"/>
      <c r="G35" s="3"/>
      <c r="H35" s="3"/>
      <c r="I35" s="3"/>
      <c r="J35" s="3"/>
      <c r="K35" s="3"/>
      <c r="L35" s="3"/>
      <c r="M35" s="3"/>
      <c r="N35" s="3"/>
      <c r="O35" s="15"/>
    </row>
    <row r="36" spans="1:18" ht="24" customHeight="1" thickBot="1">
      <c r="A36" s="364"/>
      <c r="B36" s="365"/>
      <c r="C36" s="365"/>
      <c r="D36" s="366"/>
      <c r="E36" s="330"/>
      <c r="F36" s="89"/>
      <c r="G36" s="89"/>
      <c r="H36" s="89"/>
      <c r="I36" s="89"/>
      <c r="J36" s="89"/>
      <c r="K36" s="89"/>
      <c r="L36" s="89"/>
      <c r="M36" s="89"/>
      <c r="N36" s="89"/>
      <c r="O36" s="90"/>
    </row>
    <row r="37" spans="1:18" ht="14.25" customHeight="1">
      <c r="A37" s="340"/>
      <c r="B37" s="341"/>
      <c r="C37" s="341"/>
      <c r="D37" s="342"/>
      <c r="E37" s="343"/>
      <c r="F37" s="344"/>
      <c r="G37" s="344"/>
      <c r="H37" s="344"/>
      <c r="I37" s="344"/>
      <c r="J37" s="344"/>
      <c r="K37" s="344"/>
      <c r="L37" s="344"/>
      <c r="M37" s="344"/>
      <c r="N37" s="344"/>
      <c r="O37" s="355"/>
      <c r="P37" s="331"/>
      <c r="Q37" s="331"/>
      <c r="R37" s="331"/>
    </row>
    <row r="38" spans="1:18" ht="17.25" customHeight="1">
      <c r="A38" s="345"/>
      <c r="B38" s="346"/>
      <c r="C38" s="346"/>
      <c r="D38" s="347"/>
      <c r="E38" s="347"/>
      <c r="F38" s="348"/>
      <c r="G38" s="348"/>
      <c r="H38" s="348"/>
      <c r="I38" s="348"/>
      <c r="J38" s="348"/>
      <c r="K38" s="348"/>
      <c r="L38" s="348"/>
      <c r="M38" s="348"/>
      <c r="N38" s="348"/>
      <c r="O38" s="356"/>
      <c r="P38" s="331"/>
      <c r="Q38" s="331"/>
      <c r="R38" s="331"/>
    </row>
    <row r="39" spans="1:18" ht="17.25" customHeight="1">
      <c r="A39" s="345"/>
      <c r="B39" s="346"/>
      <c r="C39" s="346"/>
      <c r="D39" s="347"/>
      <c r="E39" s="347"/>
      <c r="F39" s="348"/>
      <c r="G39" s="348"/>
      <c r="H39" s="348"/>
      <c r="I39" s="348"/>
      <c r="J39" s="348"/>
      <c r="K39" s="348"/>
      <c r="L39" s="348"/>
      <c r="M39" s="348"/>
      <c r="N39" s="348"/>
      <c r="O39" s="356"/>
      <c r="P39" s="331"/>
      <c r="Q39" s="331"/>
      <c r="R39" s="331"/>
    </row>
    <row r="40" spans="1:18" ht="14.25" customHeight="1">
      <c r="A40" s="345"/>
      <c r="B40" s="346"/>
      <c r="C40" s="346"/>
      <c r="D40" s="347"/>
      <c r="E40" s="347"/>
      <c r="F40" s="348"/>
      <c r="G40" s="348"/>
      <c r="H40" s="348"/>
      <c r="I40" s="348"/>
      <c r="J40" s="348"/>
      <c r="K40" s="348"/>
      <c r="L40" s="348"/>
      <c r="M40" s="348"/>
      <c r="N40" s="348"/>
      <c r="O40" s="356"/>
      <c r="P40" s="331"/>
      <c r="Q40" s="331"/>
      <c r="R40" s="331"/>
    </row>
    <row r="41" spans="1:18" ht="12" customHeight="1">
      <c r="A41" s="345"/>
      <c r="B41" s="346"/>
      <c r="C41" s="346"/>
      <c r="D41" s="347"/>
      <c r="E41" s="347"/>
      <c r="F41" s="348"/>
      <c r="G41" s="348"/>
      <c r="H41" s="348"/>
      <c r="I41" s="348"/>
      <c r="J41" s="348"/>
      <c r="K41" s="348"/>
      <c r="L41" s="348"/>
      <c r="M41" s="348"/>
      <c r="N41" s="348"/>
      <c r="O41" s="356"/>
      <c r="P41" s="331"/>
      <c r="Q41" s="331"/>
      <c r="R41" s="331"/>
    </row>
    <row r="42" spans="1:18" ht="16.5" customHeight="1">
      <c r="A42" s="345"/>
      <c r="B42" s="346"/>
      <c r="C42" s="346"/>
      <c r="D42" s="347"/>
      <c r="E42" s="347"/>
      <c r="F42" s="348"/>
      <c r="G42" s="348"/>
      <c r="H42" s="348"/>
      <c r="I42" s="348"/>
      <c r="J42" s="348"/>
      <c r="K42" s="348"/>
      <c r="L42" s="348"/>
      <c r="M42" s="348"/>
      <c r="N42" s="348"/>
      <c r="O42" s="356"/>
      <c r="P42" s="331"/>
      <c r="Q42" s="331"/>
      <c r="R42" s="331"/>
    </row>
    <row r="43" spans="1:18" ht="20.25" customHeight="1">
      <c r="A43" s="345"/>
      <c r="B43" s="346"/>
      <c r="C43" s="346"/>
      <c r="D43" s="347"/>
      <c r="E43" s="347"/>
      <c r="F43" s="348"/>
      <c r="G43" s="348"/>
      <c r="H43" s="348"/>
      <c r="I43" s="348"/>
      <c r="J43" s="348"/>
      <c r="K43" s="348"/>
      <c r="L43" s="348"/>
      <c r="M43" s="348"/>
      <c r="N43" s="348"/>
      <c r="O43" s="356"/>
      <c r="P43" s="331"/>
      <c r="Q43" s="331"/>
      <c r="R43" s="331"/>
    </row>
    <row r="44" spans="1:18" ht="15.75" customHeight="1">
      <c r="A44" s="345"/>
      <c r="B44" s="346"/>
      <c r="C44" s="346"/>
      <c r="D44" s="347"/>
      <c r="E44" s="347"/>
      <c r="F44" s="348"/>
      <c r="G44" s="348"/>
      <c r="H44" s="348"/>
      <c r="I44" s="348"/>
      <c r="J44" s="348"/>
      <c r="K44" s="348"/>
      <c r="L44" s="348"/>
      <c r="M44" s="348"/>
      <c r="N44" s="348"/>
      <c r="O44" s="356"/>
      <c r="P44" s="331"/>
      <c r="Q44" s="331"/>
      <c r="R44" s="331"/>
    </row>
    <row r="45" spans="1:18" ht="15.75" customHeight="1">
      <c r="A45" s="345"/>
      <c r="B45" s="346"/>
      <c r="C45" s="346"/>
      <c r="D45" s="347"/>
      <c r="E45" s="347"/>
      <c r="F45" s="348"/>
      <c r="G45" s="348"/>
      <c r="H45" s="348"/>
      <c r="I45" s="348"/>
      <c r="J45" s="348"/>
      <c r="K45" s="348"/>
      <c r="L45" s="348"/>
      <c r="M45" s="348"/>
      <c r="N45" s="348"/>
      <c r="O45" s="356"/>
      <c r="P45" s="331"/>
      <c r="Q45" s="331"/>
      <c r="R45" s="331"/>
    </row>
    <row r="46" spans="1:18" ht="15" customHeight="1">
      <c r="A46" s="345"/>
      <c r="B46" s="346"/>
      <c r="C46" s="346"/>
      <c r="D46" s="347"/>
      <c r="E46" s="347"/>
      <c r="F46" s="348"/>
      <c r="G46" s="348"/>
      <c r="H46" s="348"/>
      <c r="I46" s="348"/>
      <c r="J46" s="348"/>
      <c r="K46" s="348"/>
      <c r="L46" s="348"/>
      <c r="M46" s="348"/>
      <c r="N46" s="348"/>
      <c r="O46" s="356"/>
      <c r="P46" s="331"/>
      <c r="Q46" s="331"/>
      <c r="R46" s="331"/>
    </row>
    <row r="47" spans="1:18" ht="15.75" customHeight="1">
      <c r="A47" s="345"/>
      <c r="B47" s="346"/>
      <c r="C47" s="346"/>
      <c r="D47" s="347"/>
      <c r="E47" s="347"/>
      <c r="F47" s="348"/>
      <c r="G47" s="348"/>
      <c r="H47" s="348"/>
      <c r="I47" s="348"/>
      <c r="J47" s="348"/>
      <c r="K47" s="348"/>
      <c r="L47" s="348"/>
      <c r="M47" s="348"/>
      <c r="N47" s="348"/>
      <c r="O47" s="356"/>
      <c r="P47" s="331"/>
      <c r="Q47" s="331"/>
      <c r="R47" s="331"/>
    </row>
    <row r="48" spans="1:18" ht="17.25" customHeight="1">
      <c r="A48" s="345"/>
      <c r="B48" s="346"/>
      <c r="C48" s="346"/>
      <c r="D48" s="347"/>
      <c r="E48" s="347"/>
      <c r="F48" s="348"/>
      <c r="G48" s="349"/>
      <c r="H48" s="349"/>
      <c r="I48" s="349"/>
      <c r="J48" s="349"/>
      <c r="K48" s="349"/>
      <c r="L48" s="349"/>
      <c r="M48" s="349"/>
      <c r="N48" s="349"/>
      <c r="O48" s="357"/>
      <c r="P48" s="331"/>
      <c r="Q48" s="331"/>
      <c r="R48" s="331"/>
    </row>
    <row r="49" spans="1:18" ht="17.25" customHeight="1">
      <c r="A49" s="345"/>
      <c r="B49" s="346"/>
      <c r="C49" s="346"/>
      <c r="D49" s="347"/>
      <c r="E49" s="347"/>
      <c r="F49" s="348"/>
      <c r="G49" s="348"/>
      <c r="H49" s="348"/>
      <c r="I49" s="348"/>
      <c r="J49" s="348"/>
      <c r="K49" s="348"/>
      <c r="L49" s="348"/>
      <c r="M49" s="348"/>
      <c r="N49" s="348"/>
      <c r="O49" s="358"/>
      <c r="P49" s="331"/>
      <c r="Q49" s="331"/>
      <c r="R49" s="331"/>
    </row>
    <row r="50" spans="1:18" ht="17.25" customHeight="1">
      <c r="A50" s="345"/>
      <c r="B50" s="346"/>
      <c r="C50" s="346"/>
      <c r="D50" s="347"/>
      <c r="E50" s="347"/>
      <c r="F50" s="348"/>
      <c r="G50" s="350"/>
      <c r="H50" s="350"/>
      <c r="I50" s="350"/>
      <c r="J50" s="350"/>
      <c r="K50" s="350"/>
      <c r="L50" s="350"/>
      <c r="M50" s="350"/>
      <c r="N50" s="350"/>
      <c r="O50" s="356"/>
      <c r="P50" s="331"/>
      <c r="Q50" s="331"/>
      <c r="R50" s="331"/>
    </row>
    <row r="51" spans="1:18" ht="17.25" customHeight="1">
      <c r="A51" s="345"/>
      <c r="B51" s="346"/>
      <c r="C51" s="346"/>
      <c r="D51" s="347"/>
      <c r="E51" s="347"/>
      <c r="F51" s="348"/>
      <c r="G51" s="348"/>
      <c r="H51" s="348"/>
      <c r="I51" s="348"/>
      <c r="J51" s="348"/>
      <c r="K51" s="348"/>
      <c r="L51" s="348"/>
      <c r="M51" s="348"/>
      <c r="N51" s="348"/>
      <c r="O51" s="356"/>
      <c r="P51" s="331"/>
      <c r="Q51" s="331"/>
      <c r="R51" s="331"/>
    </row>
    <row r="52" spans="1:18" ht="17.25" customHeight="1">
      <c r="A52" s="345"/>
      <c r="B52" s="346"/>
      <c r="C52" s="346"/>
      <c r="D52" s="347"/>
      <c r="E52" s="347"/>
      <c r="F52" s="348"/>
      <c r="G52" s="348"/>
      <c r="H52" s="348"/>
      <c r="I52" s="348"/>
      <c r="J52" s="348"/>
      <c r="K52" s="348"/>
      <c r="L52" s="348"/>
      <c r="M52" s="348"/>
      <c r="N52" s="348"/>
      <c r="O52" s="356"/>
      <c r="P52" s="331"/>
      <c r="Q52" s="331"/>
      <c r="R52" s="331"/>
    </row>
    <row r="53" spans="1:18" ht="17.25" customHeight="1">
      <c r="A53" s="345"/>
      <c r="B53" s="346"/>
      <c r="C53" s="346"/>
      <c r="D53" s="347"/>
      <c r="E53" s="347"/>
      <c r="F53" s="348"/>
      <c r="G53" s="348"/>
      <c r="H53" s="350"/>
      <c r="I53" s="350"/>
      <c r="J53" s="350"/>
      <c r="K53" s="350"/>
      <c r="L53" s="350"/>
      <c r="M53" s="350"/>
      <c r="N53" s="348"/>
      <c r="O53" s="356"/>
      <c r="P53" s="331"/>
      <c r="Q53" s="331"/>
      <c r="R53" s="331"/>
    </row>
    <row r="54" spans="1:18" ht="17.25" customHeight="1">
      <c r="A54" s="345"/>
      <c r="B54" s="346"/>
      <c r="C54" s="346"/>
      <c r="D54" s="347"/>
      <c r="E54" s="347"/>
      <c r="F54" s="348"/>
      <c r="G54" s="348"/>
      <c r="H54" s="349"/>
      <c r="I54" s="349"/>
      <c r="J54" s="349"/>
      <c r="K54" s="349"/>
      <c r="L54" s="349"/>
      <c r="M54" s="349"/>
      <c r="N54" s="348"/>
      <c r="O54" s="356"/>
      <c r="P54" s="331"/>
      <c r="Q54" s="331"/>
      <c r="R54" s="331"/>
    </row>
    <row r="55" spans="1:18" ht="17.25" customHeight="1">
      <c r="A55" s="345"/>
      <c r="B55" s="346"/>
      <c r="C55" s="346"/>
      <c r="D55" s="347"/>
      <c r="E55" s="347"/>
      <c r="F55" s="348"/>
      <c r="G55" s="348"/>
      <c r="H55" s="348"/>
      <c r="I55" s="348"/>
      <c r="J55" s="348"/>
      <c r="K55" s="348"/>
      <c r="L55" s="348"/>
      <c r="M55" s="348"/>
      <c r="N55" s="348"/>
      <c r="O55" s="356"/>
      <c r="P55" s="331"/>
      <c r="Q55" s="331"/>
      <c r="R55" s="331"/>
    </row>
    <row r="56" spans="1:18" ht="17.25" customHeight="1">
      <c r="A56" s="345"/>
      <c r="B56" s="346"/>
      <c r="C56" s="346"/>
      <c r="D56" s="347"/>
      <c r="E56" s="347"/>
      <c r="F56" s="348"/>
      <c r="G56" s="348"/>
      <c r="H56" s="350"/>
      <c r="I56" s="350"/>
      <c r="J56" s="350"/>
      <c r="K56" s="350"/>
      <c r="L56" s="350"/>
      <c r="M56" s="350"/>
      <c r="N56" s="348"/>
      <c r="O56" s="356"/>
      <c r="P56" s="331"/>
      <c r="Q56" s="331"/>
      <c r="R56" s="331"/>
    </row>
    <row r="57" spans="1:18" ht="17.25" customHeight="1">
      <c r="A57" s="345"/>
      <c r="B57" s="346"/>
      <c r="C57" s="346"/>
      <c r="D57" s="347"/>
      <c r="E57" s="347"/>
      <c r="F57" s="348"/>
      <c r="G57" s="348"/>
      <c r="H57" s="348"/>
      <c r="I57" s="348"/>
      <c r="J57" s="348"/>
      <c r="K57" s="348"/>
      <c r="L57" s="348"/>
      <c r="M57" s="348"/>
      <c r="N57" s="348"/>
      <c r="O57" s="356"/>
      <c r="P57" s="331"/>
      <c r="Q57" s="331"/>
      <c r="R57" s="331"/>
    </row>
    <row r="58" spans="1:18" ht="17.25" customHeight="1">
      <c r="A58" s="345"/>
      <c r="B58" s="346"/>
      <c r="C58" s="346"/>
      <c r="D58" s="347"/>
      <c r="E58" s="347"/>
      <c r="F58" s="348"/>
      <c r="G58" s="348"/>
      <c r="H58" s="348"/>
      <c r="I58" s="348"/>
      <c r="J58" s="348"/>
      <c r="K58" s="348"/>
      <c r="L58" s="348"/>
      <c r="M58" s="348"/>
      <c r="N58" s="348"/>
      <c r="O58" s="356"/>
      <c r="P58" s="331"/>
      <c r="Q58" s="331"/>
      <c r="R58" s="331"/>
    </row>
    <row r="59" spans="1:18" ht="17.25" customHeight="1">
      <c r="A59" s="345"/>
      <c r="B59" s="346"/>
      <c r="C59" s="346"/>
      <c r="D59" s="347"/>
      <c r="E59" s="347"/>
      <c r="F59" s="348"/>
      <c r="G59" s="348"/>
      <c r="H59" s="348"/>
      <c r="I59" s="348"/>
      <c r="J59" s="348"/>
      <c r="K59" s="348"/>
      <c r="L59" s="348"/>
      <c r="M59" s="348"/>
      <c r="N59" s="348"/>
      <c r="O59" s="356"/>
      <c r="P59" s="331"/>
      <c r="Q59" s="331"/>
      <c r="R59" s="331"/>
    </row>
    <row r="60" spans="1:18" ht="17.25" customHeight="1">
      <c r="A60" s="345"/>
      <c r="B60" s="346"/>
      <c r="C60" s="346"/>
      <c r="D60" s="347"/>
      <c r="E60" s="347"/>
      <c r="F60" s="348"/>
      <c r="G60" s="348"/>
      <c r="H60" s="348"/>
      <c r="I60" s="348"/>
      <c r="J60" s="348"/>
      <c r="K60" s="348"/>
      <c r="L60" s="348"/>
      <c r="M60" s="348"/>
      <c r="N60" s="348"/>
      <c r="O60" s="356"/>
      <c r="P60" s="331"/>
      <c r="Q60" s="331"/>
      <c r="R60" s="331"/>
    </row>
    <row r="61" spans="1:18" ht="17.25" customHeight="1">
      <c r="A61" s="345"/>
      <c r="B61" s="346"/>
      <c r="C61" s="346"/>
      <c r="D61" s="347"/>
      <c r="E61" s="347"/>
      <c r="F61" s="348"/>
      <c r="G61" s="348"/>
      <c r="H61" s="348"/>
      <c r="I61" s="348"/>
      <c r="J61" s="348"/>
      <c r="K61" s="348"/>
      <c r="L61" s="348"/>
      <c r="M61" s="348"/>
      <c r="N61" s="348"/>
      <c r="O61" s="356"/>
      <c r="P61" s="331"/>
      <c r="Q61" s="331"/>
      <c r="R61" s="331"/>
    </row>
    <row r="62" spans="1:18" ht="17.25" customHeight="1">
      <c r="A62" s="345"/>
      <c r="B62" s="346"/>
      <c r="C62" s="346"/>
      <c r="D62" s="347"/>
      <c r="E62" s="347"/>
      <c r="F62" s="348"/>
      <c r="G62" s="348"/>
      <c r="H62" s="348"/>
      <c r="I62" s="348"/>
      <c r="J62" s="348"/>
      <c r="K62" s="348"/>
      <c r="L62" s="348"/>
      <c r="M62" s="348"/>
      <c r="N62" s="348"/>
      <c r="O62" s="356"/>
      <c r="P62" s="331"/>
      <c r="Q62" s="331"/>
      <c r="R62" s="331"/>
    </row>
    <row r="63" spans="1:18" ht="17.25" customHeight="1">
      <c r="A63" s="345"/>
      <c r="B63" s="346"/>
      <c r="C63" s="346"/>
      <c r="D63" s="347"/>
      <c r="E63" s="347"/>
      <c r="F63" s="348"/>
      <c r="G63" s="349"/>
      <c r="H63" s="349"/>
      <c r="I63" s="349"/>
      <c r="J63" s="349"/>
      <c r="K63" s="349"/>
      <c r="L63" s="349"/>
      <c r="M63" s="349"/>
      <c r="N63" s="349"/>
      <c r="O63" s="359"/>
      <c r="P63" s="331"/>
      <c r="Q63" s="331"/>
      <c r="R63" s="331"/>
    </row>
    <row r="64" spans="1:18" ht="17.25" customHeight="1">
      <c r="A64" s="345"/>
      <c r="B64" s="346"/>
      <c r="C64" s="346"/>
      <c r="D64" s="347"/>
      <c r="E64" s="347"/>
      <c r="F64" s="348"/>
      <c r="G64" s="348"/>
      <c r="H64" s="348"/>
      <c r="I64" s="348"/>
      <c r="J64" s="348"/>
      <c r="K64" s="348"/>
      <c r="L64" s="348"/>
      <c r="M64" s="348"/>
      <c r="N64" s="348"/>
      <c r="O64" s="356"/>
      <c r="P64" s="331"/>
      <c r="Q64" s="331"/>
      <c r="R64" s="331"/>
    </row>
    <row r="65" spans="1:18" ht="17.25" customHeight="1">
      <c r="A65" s="345"/>
      <c r="B65" s="346"/>
      <c r="C65" s="346"/>
      <c r="D65" s="347"/>
      <c r="E65" s="347"/>
      <c r="F65" s="348"/>
      <c r="G65" s="350"/>
      <c r="H65" s="350"/>
      <c r="I65" s="350"/>
      <c r="J65" s="350"/>
      <c r="K65" s="350"/>
      <c r="L65" s="350"/>
      <c r="M65" s="350"/>
      <c r="N65" s="350"/>
      <c r="O65" s="358"/>
      <c r="P65" s="331"/>
      <c r="Q65" s="331"/>
      <c r="R65" s="331"/>
    </row>
    <row r="66" spans="1:18" ht="17.25" customHeight="1">
      <c r="A66" s="345"/>
      <c r="B66" s="346"/>
      <c r="C66" s="346"/>
      <c r="D66" s="347"/>
      <c r="E66" s="347"/>
      <c r="F66" s="348"/>
      <c r="G66" s="351"/>
      <c r="H66" s="351"/>
      <c r="I66" s="351"/>
      <c r="J66" s="351"/>
      <c r="K66" s="351"/>
      <c r="L66" s="351"/>
      <c r="M66" s="351"/>
      <c r="N66" s="351"/>
      <c r="O66" s="357"/>
      <c r="P66" s="331"/>
      <c r="Q66" s="331"/>
      <c r="R66" s="331"/>
    </row>
    <row r="67" spans="1:18" ht="17.25" customHeight="1">
      <c r="A67" s="345"/>
      <c r="B67" s="346"/>
      <c r="C67" s="346"/>
      <c r="D67" s="347"/>
      <c r="E67" s="347"/>
      <c r="F67" s="348"/>
      <c r="G67" s="350"/>
      <c r="H67" s="350"/>
      <c r="I67" s="350"/>
      <c r="J67" s="350"/>
      <c r="K67" s="350"/>
      <c r="L67" s="350"/>
      <c r="M67" s="350"/>
      <c r="N67" s="350"/>
      <c r="O67" s="358"/>
      <c r="P67" s="331"/>
      <c r="Q67" s="331"/>
      <c r="R67" s="331"/>
    </row>
    <row r="68" spans="1:18" ht="17.25" customHeight="1">
      <c r="A68" s="345"/>
      <c r="B68" s="346"/>
      <c r="C68" s="346"/>
      <c r="D68" s="347"/>
      <c r="E68" s="347"/>
      <c r="F68" s="348"/>
      <c r="G68" s="348"/>
      <c r="H68" s="348"/>
      <c r="I68" s="348"/>
      <c r="J68" s="348"/>
      <c r="K68" s="348"/>
      <c r="L68" s="348"/>
      <c r="M68" s="348"/>
      <c r="N68" s="348"/>
      <c r="O68" s="356"/>
      <c r="P68" s="331"/>
      <c r="Q68" s="331"/>
      <c r="R68" s="331"/>
    </row>
    <row r="69" spans="1:18" ht="17.25" customHeight="1">
      <c r="A69" s="345"/>
      <c r="B69" s="346"/>
      <c r="C69" s="346"/>
      <c r="D69" s="347"/>
      <c r="E69" s="347"/>
      <c r="F69" s="348"/>
      <c r="G69" s="348"/>
      <c r="H69" s="348"/>
      <c r="I69" s="348"/>
      <c r="J69" s="348"/>
      <c r="K69" s="348"/>
      <c r="L69" s="348"/>
      <c r="M69" s="348"/>
      <c r="N69" s="348"/>
      <c r="O69" s="356"/>
      <c r="P69" s="331"/>
      <c r="Q69" s="331"/>
      <c r="R69" s="331"/>
    </row>
    <row r="70" spans="1:18" ht="17.25" customHeight="1">
      <c r="A70" s="345"/>
      <c r="B70" s="346"/>
      <c r="C70" s="346"/>
      <c r="D70" s="347"/>
      <c r="E70" s="347"/>
      <c r="F70" s="348"/>
      <c r="G70" s="348"/>
      <c r="H70" s="348"/>
      <c r="I70" s="348"/>
      <c r="J70" s="348"/>
      <c r="K70" s="348"/>
      <c r="L70" s="348"/>
      <c r="M70" s="348"/>
      <c r="N70" s="348"/>
      <c r="O70" s="356"/>
      <c r="P70" s="331"/>
      <c r="Q70" s="331"/>
      <c r="R70" s="331"/>
    </row>
    <row r="71" spans="1:18" ht="17.25" customHeight="1">
      <c r="A71" s="345"/>
      <c r="B71" s="346"/>
      <c r="C71" s="346"/>
      <c r="D71" s="347"/>
      <c r="E71" s="347"/>
      <c r="F71" s="348"/>
      <c r="G71" s="348"/>
      <c r="H71" s="348"/>
      <c r="I71" s="348"/>
      <c r="J71" s="348"/>
      <c r="K71" s="348"/>
      <c r="L71" s="348"/>
      <c r="M71" s="348"/>
      <c r="N71" s="348"/>
      <c r="O71" s="356"/>
      <c r="P71" s="331"/>
      <c r="Q71" s="331"/>
      <c r="R71" s="331"/>
    </row>
    <row r="72" spans="1:18" ht="17.25" customHeight="1">
      <c r="A72" s="345"/>
      <c r="B72" s="346"/>
      <c r="C72" s="346"/>
      <c r="D72" s="347"/>
      <c r="E72" s="347"/>
      <c r="F72" s="348"/>
      <c r="G72" s="348"/>
      <c r="H72" s="348"/>
      <c r="I72" s="348"/>
      <c r="J72" s="348"/>
      <c r="K72" s="348"/>
      <c r="L72" s="348"/>
      <c r="M72" s="348"/>
      <c r="N72" s="348"/>
      <c r="O72" s="356"/>
      <c r="P72" s="331"/>
      <c r="Q72" s="331"/>
      <c r="R72" s="331"/>
    </row>
    <row r="73" spans="1:18" ht="17.25" customHeight="1">
      <c r="A73" s="345"/>
      <c r="B73" s="346"/>
      <c r="C73" s="346"/>
      <c r="D73" s="347"/>
      <c r="E73" s="352"/>
      <c r="F73" s="348"/>
      <c r="G73" s="348"/>
      <c r="H73" s="348"/>
      <c r="I73" s="348"/>
      <c r="J73" s="348"/>
      <c r="K73" s="348"/>
      <c r="L73" s="348"/>
      <c r="M73" s="348"/>
      <c r="N73" s="348"/>
      <c r="O73" s="356"/>
      <c r="P73" s="331"/>
      <c r="Q73" s="331"/>
      <c r="R73" s="331"/>
    </row>
    <row r="74" spans="1:18" ht="17.25" customHeight="1">
      <c r="A74" s="345"/>
      <c r="B74" s="346"/>
      <c r="C74" s="346"/>
      <c r="D74" s="347"/>
      <c r="E74" s="352"/>
      <c r="F74" s="348"/>
      <c r="G74" s="348"/>
      <c r="H74" s="348"/>
      <c r="I74" s="348"/>
      <c r="J74" s="348"/>
      <c r="K74" s="348"/>
      <c r="L74" s="348"/>
      <c r="M74" s="348"/>
      <c r="N74" s="348"/>
      <c r="O74" s="356"/>
      <c r="P74" s="331"/>
      <c r="Q74" s="331"/>
      <c r="R74" s="331"/>
    </row>
    <row r="75" spans="1:18" ht="17.25" customHeight="1">
      <c r="A75" s="345"/>
      <c r="B75" s="346"/>
      <c r="C75" s="346"/>
      <c r="D75" s="347"/>
      <c r="E75" s="347"/>
      <c r="F75" s="348"/>
      <c r="G75" s="348"/>
      <c r="H75" s="348"/>
      <c r="I75" s="348"/>
      <c r="J75" s="348"/>
      <c r="K75" s="348"/>
      <c r="L75" s="348"/>
      <c r="M75" s="348"/>
      <c r="N75" s="348"/>
      <c r="O75" s="356"/>
      <c r="P75" s="331"/>
      <c r="Q75" s="331"/>
      <c r="R75" s="331"/>
    </row>
    <row r="76" spans="1:18" ht="17.25" customHeight="1">
      <c r="A76" s="345"/>
      <c r="B76" s="346"/>
      <c r="C76" s="346"/>
      <c r="D76" s="347"/>
      <c r="E76" s="347"/>
      <c r="F76" s="348"/>
      <c r="G76" s="348"/>
      <c r="H76" s="348"/>
      <c r="I76" s="348"/>
      <c r="J76" s="348"/>
      <c r="K76" s="348"/>
      <c r="L76" s="348"/>
      <c r="M76" s="348"/>
      <c r="N76" s="348"/>
      <c r="O76" s="356"/>
      <c r="P76" s="331"/>
      <c r="Q76" s="331"/>
      <c r="R76" s="331"/>
    </row>
    <row r="77" spans="1:18" ht="17.25" customHeight="1">
      <c r="A77" s="345"/>
      <c r="B77" s="346"/>
      <c r="C77" s="346"/>
      <c r="D77" s="347"/>
      <c r="E77" s="352"/>
      <c r="F77" s="348"/>
      <c r="G77" s="348"/>
      <c r="H77" s="348"/>
      <c r="I77" s="348"/>
      <c r="J77" s="348"/>
      <c r="K77" s="348"/>
      <c r="L77" s="348"/>
      <c r="M77" s="348"/>
      <c r="N77" s="348"/>
      <c r="O77" s="356"/>
      <c r="P77" s="331"/>
      <c r="Q77" s="331"/>
      <c r="R77" s="331"/>
    </row>
    <row r="78" spans="1:18" ht="17.25" customHeight="1">
      <c r="A78" s="345"/>
      <c r="B78" s="346"/>
      <c r="C78" s="346"/>
      <c r="D78" s="347"/>
      <c r="E78" s="352"/>
      <c r="F78" s="348"/>
      <c r="G78" s="348"/>
      <c r="H78" s="348"/>
      <c r="I78" s="348"/>
      <c r="J78" s="348"/>
      <c r="K78" s="348"/>
      <c r="L78" s="348"/>
      <c r="M78" s="348"/>
      <c r="N78" s="348"/>
      <c r="O78" s="356"/>
      <c r="P78" s="331"/>
      <c r="Q78" s="331"/>
      <c r="R78" s="331"/>
    </row>
    <row r="79" spans="1:18" ht="17.25" customHeight="1">
      <c r="A79" s="345"/>
      <c r="B79" s="346"/>
      <c r="C79" s="346"/>
      <c r="D79" s="347"/>
      <c r="E79" s="347"/>
      <c r="F79" s="348"/>
      <c r="G79" s="348"/>
      <c r="H79" s="348"/>
      <c r="I79" s="348"/>
      <c r="J79" s="348"/>
      <c r="K79" s="348"/>
      <c r="L79" s="348"/>
      <c r="M79" s="348"/>
      <c r="N79" s="348"/>
      <c r="O79" s="356"/>
      <c r="P79" s="331"/>
      <c r="Q79" s="331"/>
      <c r="R79" s="331"/>
    </row>
    <row r="80" spans="1:18" ht="17.25" customHeight="1">
      <c r="A80" s="345"/>
      <c r="B80" s="346"/>
      <c r="C80" s="346"/>
      <c r="D80" s="347"/>
      <c r="E80" s="347"/>
      <c r="F80" s="348"/>
      <c r="G80" s="348"/>
      <c r="H80" s="348"/>
      <c r="I80" s="348"/>
      <c r="J80" s="348"/>
      <c r="K80" s="348"/>
      <c r="L80" s="348"/>
      <c r="M80" s="348"/>
      <c r="N80" s="348"/>
      <c r="O80" s="356"/>
      <c r="P80" s="331"/>
      <c r="Q80" s="331"/>
      <c r="R80" s="331"/>
    </row>
    <row r="81" spans="1:18" ht="17.25" customHeight="1">
      <c r="A81" s="345"/>
      <c r="B81" s="346"/>
      <c r="C81" s="346"/>
      <c r="D81" s="347"/>
      <c r="E81" s="347"/>
      <c r="F81" s="348"/>
      <c r="G81" s="348"/>
      <c r="H81" s="348"/>
      <c r="I81" s="348"/>
      <c r="J81" s="348"/>
      <c r="K81" s="348"/>
      <c r="L81" s="348"/>
      <c r="M81" s="348"/>
      <c r="N81" s="348"/>
      <c r="O81" s="356"/>
      <c r="P81" s="331"/>
      <c r="Q81" s="331"/>
      <c r="R81" s="331"/>
    </row>
    <row r="82" spans="1:18" ht="17.25" customHeight="1">
      <c r="A82" s="345"/>
      <c r="B82" s="346"/>
      <c r="C82" s="346"/>
      <c r="D82" s="347"/>
      <c r="E82" s="347"/>
      <c r="F82" s="348"/>
      <c r="G82" s="349"/>
      <c r="H82" s="349"/>
      <c r="I82" s="349"/>
      <c r="J82" s="349"/>
      <c r="K82" s="349"/>
      <c r="L82" s="349"/>
      <c r="M82" s="349"/>
      <c r="N82" s="349"/>
      <c r="O82" s="359"/>
      <c r="P82" s="331"/>
      <c r="Q82" s="331"/>
      <c r="R82" s="331"/>
    </row>
    <row r="83" spans="1:18" ht="17.25" customHeight="1">
      <c r="A83" s="345"/>
      <c r="B83" s="346"/>
      <c r="C83" s="346"/>
      <c r="D83" s="347"/>
      <c r="E83" s="347"/>
      <c r="F83" s="348"/>
      <c r="G83" s="348"/>
      <c r="H83" s="348"/>
      <c r="I83" s="348"/>
      <c r="J83" s="348"/>
      <c r="K83" s="348"/>
      <c r="L83" s="348"/>
      <c r="M83" s="348"/>
      <c r="N83" s="348"/>
      <c r="O83" s="356"/>
      <c r="P83" s="331"/>
      <c r="Q83" s="331"/>
      <c r="R83" s="331"/>
    </row>
    <row r="84" spans="1:18" ht="17.25" customHeight="1">
      <c r="A84" s="345"/>
      <c r="B84" s="346"/>
      <c r="C84" s="346"/>
      <c r="D84" s="347"/>
      <c r="E84" s="347"/>
      <c r="F84" s="348"/>
      <c r="G84" s="350"/>
      <c r="H84" s="350"/>
      <c r="I84" s="350"/>
      <c r="J84" s="350"/>
      <c r="K84" s="350"/>
      <c r="L84" s="350"/>
      <c r="M84" s="350"/>
      <c r="N84" s="350"/>
      <c r="O84" s="358"/>
      <c r="P84" s="331"/>
      <c r="Q84" s="331"/>
      <c r="R84" s="331"/>
    </row>
    <row r="85" spans="1:18" ht="17.25" customHeight="1">
      <c r="A85" s="345"/>
      <c r="B85" s="346"/>
      <c r="C85" s="346"/>
      <c r="D85" s="347"/>
      <c r="E85" s="347"/>
      <c r="F85" s="348"/>
      <c r="G85" s="351"/>
      <c r="H85" s="351"/>
      <c r="I85" s="351"/>
      <c r="J85" s="351"/>
      <c r="K85" s="351"/>
      <c r="L85" s="351"/>
      <c r="M85" s="351"/>
      <c r="N85" s="351"/>
      <c r="O85" s="357"/>
      <c r="P85" s="331"/>
      <c r="Q85" s="331"/>
      <c r="R85" s="331"/>
    </row>
    <row r="86" spans="1:18" ht="11.25" customHeight="1">
      <c r="A86" s="345"/>
      <c r="B86" s="346"/>
      <c r="C86" s="346"/>
      <c r="D86" s="347"/>
      <c r="E86" s="347"/>
      <c r="F86" s="348"/>
      <c r="G86" s="350"/>
      <c r="H86" s="350"/>
      <c r="I86" s="350"/>
      <c r="J86" s="350"/>
      <c r="K86" s="350"/>
      <c r="L86" s="350"/>
      <c r="M86" s="350"/>
      <c r="N86" s="350"/>
      <c r="O86" s="358"/>
      <c r="P86" s="331"/>
      <c r="Q86" s="331"/>
      <c r="R86" s="331"/>
    </row>
    <row r="87" spans="1:18" ht="11.25" customHeight="1">
      <c r="A87" s="345"/>
      <c r="B87" s="346"/>
      <c r="C87" s="346"/>
      <c r="D87" s="347"/>
      <c r="E87" s="347"/>
      <c r="F87" s="348"/>
      <c r="G87" s="348"/>
      <c r="H87" s="348"/>
      <c r="I87" s="348"/>
      <c r="J87" s="348"/>
      <c r="K87" s="348"/>
      <c r="L87" s="348"/>
      <c r="M87" s="348"/>
      <c r="N87" s="348"/>
      <c r="O87" s="356"/>
      <c r="P87" s="331"/>
      <c r="Q87" s="331"/>
      <c r="R87" s="331"/>
    </row>
    <row r="88" spans="1:18" ht="11.25" customHeight="1">
      <c r="A88" s="345"/>
      <c r="B88" s="346"/>
      <c r="C88" s="346"/>
      <c r="D88" s="347"/>
      <c r="E88" s="347"/>
      <c r="F88" s="348"/>
      <c r="G88" s="348"/>
      <c r="H88" s="348"/>
      <c r="I88" s="348"/>
      <c r="J88" s="348"/>
      <c r="K88" s="348"/>
      <c r="L88" s="348"/>
      <c r="M88" s="348"/>
      <c r="N88" s="348"/>
      <c r="O88" s="356"/>
      <c r="P88" s="331"/>
      <c r="Q88" s="331"/>
      <c r="R88" s="331"/>
    </row>
    <row r="89" spans="1:18" ht="11.25" customHeight="1">
      <c r="A89" s="345"/>
      <c r="B89" s="346"/>
      <c r="C89" s="346"/>
      <c r="D89" s="347"/>
      <c r="E89" s="347"/>
      <c r="F89" s="348"/>
      <c r="G89" s="348"/>
      <c r="H89" s="348"/>
      <c r="I89" s="348"/>
      <c r="J89" s="348"/>
      <c r="K89" s="348"/>
      <c r="L89" s="348"/>
      <c r="M89" s="348"/>
      <c r="N89" s="348"/>
      <c r="O89" s="356"/>
      <c r="P89" s="331"/>
      <c r="Q89" s="331"/>
      <c r="R89" s="331"/>
    </row>
    <row r="90" spans="1:18" ht="11.25" customHeight="1">
      <c r="A90" s="345"/>
      <c r="B90" s="346"/>
      <c r="C90" s="346"/>
      <c r="D90" s="347"/>
      <c r="E90" s="347"/>
      <c r="F90" s="348"/>
      <c r="G90" s="348"/>
      <c r="H90" s="348"/>
      <c r="I90" s="348"/>
      <c r="J90" s="348"/>
      <c r="K90" s="348"/>
      <c r="L90" s="348"/>
      <c r="M90" s="348"/>
      <c r="N90" s="348"/>
      <c r="O90" s="356"/>
      <c r="P90" s="331"/>
      <c r="Q90" s="331"/>
      <c r="R90" s="331"/>
    </row>
    <row r="91" spans="1:18" ht="11.25" customHeight="1">
      <c r="A91" s="345"/>
      <c r="B91" s="346"/>
      <c r="C91" s="346"/>
      <c r="D91" s="347"/>
      <c r="E91" s="347"/>
      <c r="F91" s="348"/>
      <c r="G91" s="348"/>
      <c r="H91" s="348"/>
      <c r="I91" s="348"/>
      <c r="J91" s="348"/>
      <c r="K91" s="348"/>
      <c r="L91" s="348"/>
      <c r="M91" s="348"/>
      <c r="N91" s="348"/>
      <c r="O91" s="356"/>
      <c r="P91" s="331"/>
      <c r="Q91" s="331"/>
      <c r="R91" s="331"/>
    </row>
    <row r="92" spans="1:18" ht="11.25" customHeight="1">
      <c r="A92" s="345"/>
      <c r="B92" s="346"/>
      <c r="C92" s="346"/>
      <c r="D92" s="347"/>
      <c r="E92" s="352"/>
      <c r="F92" s="348"/>
      <c r="G92" s="348"/>
      <c r="H92" s="348"/>
      <c r="I92" s="348"/>
      <c r="J92" s="348"/>
      <c r="K92" s="348"/>
      <c r="L92" s="348"/>
      <c r="M92" s="348"/>
      <c r="N92" s="348"/>
      <c r="O92" s="356"/>
      <c r="P92" s="331"/>
      <c r="Q92" s="331"/>
      <c r="R92" s="331"/>
    </row>
    <row r="93" spans="1:18" ht="11.25" customHeight="1">
      <c r="A93" s="345"/>
      <c r="B93" s="346"/>
      <c r="C93" s="346"/>
      <c r="D93" s="347"/>
      <c r="E93" s="352"/>
      <c r="F93" s="348"/>
      <c r="G93" s="348"/>
      <c r="H93" s="348"/>
      <c r="I93" s="348"/>
      <c r="J93" s="348"/>
      <c r="K93" s="348"/>
      <c r="L93" s="348"/>
      <c r="M93" s="348"/>
      <c r="N93" s="348"/>
      <c r="O93" s="356"/>
      <c r="P93" s="331"/>
      <c r="Q93" s="331"/>
      <c r="R93" s="331"/>
    </row>
    <row r="94" spans="1:18" ht="11.25" customHeight="1">
      <c r="A94" s="345"/>
      <c r="B94" s="346"/>
      <c r="C94" s="346"/>
      <c r="D94" s="347"/>
      <c r="E94" s="347"/>
      <c r="F94" s="348"/>
      <c r="G94" s="348"/>
      <c r="H94" s="348"/>
      <c r="I94" s="348"/>
      <c r="J94" s="348"/>
      <c r="K94" s="348"/>
      <c r="L94" s="348"/>
      <c r="M94" s="348"/>
      <c r="N94" s="348"/>
      <c r="O94" s="356"/>
      <c r="P94" s="331"/>
      <c r="Q94" s="331"/>
      <c r="R94" s="331"/>
    </row>
    <row r="95" spans="1:18" ht="11.25" customHeight="1">
      <c r="A95" s="345"/>
      <c r="B95" s="346"/>
      <c r="C95" s="346"/>
      <c r="D95" s="347"/>
      <c r="E95" s="347"/>
      <c r="F95" s="348"/>
      <c r="G95" s="348"/>
      <c r="H95" s="348"/>
      <c r="I95" s="348"/>
      <c r="J95" s="348"/>
      <c r="K95" s="348"/>
      <c r="L95" s="348"/>
      <c r="M95" s="348"/>
      <c r="N95" s="348"/>
      <c r="O95" s="356"/>
      <c r="P95" s="331"/>
      <c r="Q95" s="331"/>
      <c r="R95" s="331"/>
    </row>
    <row r="96" spans="1:18" ht="11.25" customHeight="1">
      <c r="A96" s="345"/>
      <c r="B96" s="346"/>
      <c r="C96" s="346"/>
      <c r="D96" s="347"/>
      <c r="E96" s="347"/>
      <c r="F96" s="348"/>
      <c r="G96" s="348"/>
      <c r="H96" s="348"/>
      <c r="I96" s="348"/>
      <c r="J96" s="348"/>
      <c r="K96" s="348"/>
      <c r="L96" s="348"/>
      <c r="M96" s="348"/>
      <c r="N96" s="348"/>
      <c r="O96" s="356"/>
      <c r="P96" s="331"/>
      <c r="Q96" s="331"/>
      <c r="R96" s="331"/>
    </row>
    <row r="97" spans="1:18" ht="11.25" customHeight="1">
      <c r="A97" s="345"/>
      <c r="B97" s="346"/>
      <c r="C97" s="346"/>
      <c r="D97" s="347"/>
      <c r="E97" s="347"/>
      <c r="F97" s="348"/>
      <c r="G97" s="348"/>
      <c r="H97" s="348"/>
      <c r="I97" s="348"/>
      <c r="J97" s="348"/>
      <c r="K97" s="348"/>
      <c r="L97" s="348"/>
      <c r="M97" s="348"/>
      <c r="N97" s="348"/>
      <c r="O97" s="356"/>
      <c r="P97" s="331"/>
      <c r="Q97" s="331"/>
      <c r="R97" s="331"/>
    </row>
    <row r="98" spans="1:18" ht="11.25" customHeight="1">
      <c r="A98" s="345"/>
      <c r="B98" s="346"/>
      <c r="C98" s="346"/>
      <c r="D98" s="347"/>
      <c r="E98" s="347"/>
      <c r="F98" s="348"/>
      <c r="G98" s="348"/>
      <c r="H98" s="348"/>
      <c r="I98" s="348"/>
      <c r="J98" s="348"/>
      <c r="K98" s="348"/>
      <c r="L98" s="348"/>
      <c r="M98" s="348"/>
      <c r="N98" s="348"/>
      <c r="O98" s="356"/>
      <c r="P98" s="331"/>
      <c r="Q98" s="331"/>
      <c r="R98" s="331"/>
    </row>
    <row r="99" spans="1:18" ht="11.25" customHeight="1">
      <c r="A99" s="345"/>
      <c r="B99" s="346"/>
      <c r="C99" s="346"/>
      <c r="D99" s="347"/>
      <c r="E99" s="347"/>
      <c r="F99" s="348"/>
      <c r="G99" s="348"/>
      <c r="H99" s="348"/>
      <c r="I99" s="348"/>
      <c r="J99" s="348"/>
      <c r="K99" s="348"/>
      <c r="L99" s="348"/>
      <c r="M99" s="348"/>
      <c r="N99" s="348"/>
      <c r="O99" s="356"/>
      <c r="P99" s="331"/>
      <c r="Q99" s="331"/>
      <c r="R99" s="331"/>
    </row>
    <row r="100" spans="1:18" ht="11.25" customHeight="1">
      <c r="A100" s="345"/>
      <c r="B100" s="346"/>
      <c r="C100" s="346"/>
      <c r="D100" s="347"/>
      <c r="E100" s="347"/>
      <c r="F100" s="348"/>
      <c r="G100" s="348"/>
      <c r="H100" s="348"/>
      <c r="I100" s="348"/>
      <c r="J100" s="348"/>
      <c r="K100" s="348"/>
      <c r="L100" s="348"/>
      <c r="M100" s="348"/>
      <c r="N100" s="348"/>
      <c r="O100" s="356"/>
      <c r="P100" s="331"/>
      <c r="Q100" s="331"/>
      <c r="R100" s="331"/>
    </row>
    <row r="101" spans="1:18" ht="11.25" customHeight="1">
      <c r="A101" s="345"/>
      <c r="B101" s="346"/>
      <c r="C101" s="346"/>
      <c r="D101" s="347"/>
      <c r="E101" s="347"/>
      <c r="F101" s="348"/>
      <c r="G101" s="348"/>
      <c r="H101" s="348"/>
      <c r="I101" s="348"/>
      <c r="J101" s="348"/>
      <c r="K101" s="348"/>
      <c r="L101" s="348"/>
      <c r="M101" s="348"/>
      <c r="N101" s="348"/>
      <c r="O101" s="356"/>
      <c r="P101" s="331"/>
      <c r="Q101" s="331"/>
      <c r="R101" s="331"/>
    </row>
    <row r="102" spans="1:18" ht="11.25" customHeight="1">
      <c r="A102" s="345"/>
      <c r="B102" s="346"/>
      <c r="C102" s="346"/>
      <c r="D102" s="347"/>
      <c r="E102" s="347"/>
      <c r="F102" s="348"/>
      <c r="G102" s="348"/>
      <c r="H102" s="348"/>
      <c r="I102" s="348"/>
      <c r="J102" s="348"/>
      <c r="K102" s="348"/>
      <c r="L102" s="348"/>
      <c r="M102" s="348"/>
      <c r="N102" s="348"/>
      <c r="O102" s="356"/>
      <c r="P102" s="331"/>
      <c r="Q102" s="331"/>
      <c r="R102" s="331"/>
    </row>
    <row r="103" spans="1:18" ht="11.25" customHeight="1">
      <c r="A103" s="345"/>
      <c r="B103" s="346"/>
      <c r="C103" s="346"/>
      <c r="D103" s="347"/>
      <c r="E103" s="347"/>
      <c r="F103" s="348"/>
      <c r="G103" s="348"/>
      <c r="H103" s="348"/>
      <c r="I103" s="348"/>
      <c r="J103" s="348"/>
      <c r="K103" s="348"/>
      <c r="L103" s="348"/>
      <c r="M103" s="348"/>
      <c r="N103" s="348"/>
      <c r="O103" s="356"/>
      <c r="P103" s="331"/>
      <c r="Q103" s="331"/>
      <c r="R103" s="331"/>
    </row>
    <row r="104" spans="1:18" ht="11.25" customHeight="1">
      <c r="A104" s="345"/>
      <c r="B104" s="346"/>
      <c r="C104" s="346"/>
      <c r="D104" s="347"/>
      <c r="E104" s="347"/>
      <c r="F104" s="348"/>
      <c r="G104" s="348"/>
      <c r="H104" s="348"/>
      <c r="I104" s="348"/>
      <c r="J104" s="348"/>
      <c r="K104" s="348"/>
      <c r="L104" s="348"/>
      <c r="M104" s="348"/>
      <c r="N104" s="348"/>
      <c r="O104" s="356"/>
      <c r="P104" s="331"/>
      <c r="Q104" s="331"/>
      <c r="R104" s="331"/>
    </row>
    <row r="105" spans="1:18" ht="11.25" customHeight="1">
      <c r="A105" s="345"/>
      <c r="B105" s="346"/>
      <c r="C105" s="346"/>
      <c r="D105" s="347"/>
      <c r="E105" s="347"/>
      <c r="F105" s="348"/>
      <c r="G105" s="348"/>
      <c r="H105" s="348"/>
      <c r="I105" s="348"/>
      <c r="J105" s="348"/>
      <c r="K105" s="348"/>
      <c r="L105" s="348"/>
      <c r="M105" s="348"/>
      <c r="N105" s="348"/>
      <c r="O105" s="356"/>
      <c r="P105" s="331"/>
      <c r="Q105" s="331"/>
      <c r="R105" s="331"/>
    </row>
    <row r="106" spans="1:18" ht="11.25" customHeight="1">
      <c r="A106" s="345"/>
      <c r="B106" s="346"/>
      <c r="C106" s="346"/>
      <c r="D106" s="347"/>
      <c r="E106" s="347"/>
      <c r="F106" s="348"/>
      <c r="G106" s="348"/>
      <c r="H106" s="348"/>
      <c r="I106" s="348"/>
      <c r="J106" s="348"/>
      <c r="K106" s="348"/>
      <c r="L106" s="348"/>
      <c r="M106" s="348"/>
      <c r="N106" s="348"/>
      <c r="O106" s="356"/>
      <c r="P106" s="331"/>
      <c r="Q106" s="331"/>
      <c r="R106" s="331"/>
    </row>
    <row r="107" spans="1:18" ht="11.25" customHeight="1">
      <c r="A107" s="353"/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60"/>
      <c r="P107" s="331"/>
      <c r="Q107" s="331"/>
      <c r="R107" s="331"/>
    </row>
    <row r="108" spans="1:18" ht="11.25" customHeight="1">
      <c r="A108" s="353"/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60"/>
      <c r="P108" s="331"/>
      <c r="Q108" s="331"/>
      <c r="R108" s="331"/>
    </row>
    <row r="109" spans="1:18" ht="11.25" customHeight="1" thickBot="1">
      <c r="A109" s="361"/>
      <c r="B109" s="362"/>
      <c r="C109" s="362"/>
      <c r="D109" s="362"/>
      <c r="E109" s="362"/>
      <c r="F109" s="362"/>
      <c r="G109" s="362"/>
      <c r="H109" s="362"/>
      <c r="I109" s="362"/>
      <c r="J109" s="362"/>
      <c r="K109" s="362"/>
      <c r="L109" s="362"/>
      <c r="M109" s="362"/>
      <c r="N109" s="362"/>
      <c r="O109" s="363"/>
      <c r="P109" s="331"/>
      <c r="Q109" s="331"/>
      <c r="R109" s="331"/>
    </row>
    <row r="110" spans="1:18" ht="11.25" customHeight="1">
      <c r="A110" s="331"/>
      <c r="B110" s="331"/>
      <c r="C110" s="331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</row>
    <row r="111" spans="1:18" ht="11.25" customHeight="1">
      <c r="A111" s="331"/>
      <c r="B111" s="331"/>
      <c r="C111" s="331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</row>
    <row r="112" spans="1:18" ht="11.25" customHeight="1">
      <c r="A112" s="331"/>
      <c r="B112" s="331"/>
      <c r="C112" s="331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</row>
    <row r="113" ht="11.25" customHeight="1"/>
  </sheetData>
  <mergeCells count="38">
    <mergeCell ref="F17:M18"/>
    <mergeCell ref="A30:F30"/>
    <mergeCell ref="A32:D32"/>
    <mergeCell ref="L12:L13"/>
    <mergeCell ref="N16:O17"/>
    <mergeCell ref="J16:M16"/>
    <mergeCell ref="A16:H16"/>
    <mergeCell ref="A17:B17"/>
    <mergeCell ref="A13:B13"/>
    <mergeCell ref="A12:B12"/>
    <mergeCell ref="G12:G13"/>
    <mergeCell ref="E12:E13"/>
    <mergeCell ref="J12:J13"/>
    <mergeCell ref="C17:C18"/>
    <mergeCell ref="D17:D18"/>
    <mergeCell ref="E17:E18"/>
    <mergeCell ref="B9:C9"/>
    <mergeCell ref="A1:O1"/>
    <mergeCell ref="A2:C2"/>
    <mergeCell ref="D2:D3"/>
    <mergeCell ref="E2:E3"/>
    <mergeCell ref="F2:F3"/>
    <mergeCell ref="G2:G3"/>
    <mergeCell ref="H2:K2"/>
    <mergeCell ref="L2:L3"/>
    <mergeCell ref="D4:D6"/>
    <mergeCell ref="L4:L5"/>
    <mergeCell ref="A7:C7"/>
    <mergeCell ref="F20:M20"/>
    <mergeCell ref="F21:M21"/>
    <mergeCell ref="F22:M22"/>
    <mergeCell ref="F23:M23"/>
    <mergeCell ref="F19:M19"/>
    <mergeCell ref="F24:M24"/>
    <mergeCell ref="F25:M25"/>
    <mergeCell ref="F26:M26"/>
    <mergeCell ref="F27:M27"/>
    <mergeCell ref="F28:M28"/>
  </mergeCells>
  <dataValidations count="2">
    <dataValidation type="decimal" operator="greaterThanOrEqual" allowBlank="1" showInputMessage="1" showErrorMessage="1" errorTitle="Error message" error="Number format not correct!" sqref="O3 B4:D6">
      <formula1>-10000000000000000</formula1>
    </dataValidation>
    <dataValidation type="custom" allowBlank="1" showInputMessage="1" showErrorMessage="1" errorTitle="Error message" error="Insertion error. A valid finish time must be inserted in order to fill in the operation description." sqref="F19 N19:O19">
      <formula1>IF(C$36&lt;&gt;"",TRUE,FALSE)</formula1>
    </dataValidation>
  </dataValidations>
  <pageMargins left="0.23622047244094488" right="0.23622047244094488" top="0.74803149606299213" bottom="0.74803149606299213" header="0.31496062992125984" footer="0.31496062992125984"/>
  <pageSetup paperSize="9" scale="5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0"/>
  <sheetViews>
    <sheetView showGridLines="0" topLeftCell="B1" zoomScale="130" zoomScaleNormal="130" workbookViewId="0">
      <selection activeCell="B8" sqref="B8"/>
    </sheetView>
  </sheetViews>
  <sheetFormatPr baseColWidth="10" defaultColWidth="9.140625" defaultRowHeight="12.75"/>
  <cols>
    <col min="1" max="1" width="39" style="224" customWidth="1"/>
    <col min="2" max="3" width="12.85546875" style="224" customWidth="1"/>
    <col min="4" max="11" width="9.140625" style="224"/>
    <col min="12" max="12" width="12" style="224" hidden="1" customWidth="1"/>
    <col min="13" max="13" width="12" style="224" bestFit="1" customWidth="1"/>
    <col min="14" max="256" width="9.140625" style="224"/>
    <col min="257" max="257" width="39" style="224" customWidth="1"/>
    <col min="258" max="259" width="12.85546875" style="224" customWidth="1"/>
    <col min="260" max="267" width="9.140625" style="224"/>
    <col min="268" max="268" width="0" style="224" hidden="1" customWidth="1"/>
    <col min="269" max="269" width="12" style="224" bestFit="1" customWidth="1"/>
    <col min="270" max="512" width="9.140625" style="224"/>
    <col min="513" max="513" width="39" style="224" customWidth="1"/>
    <col min="514" max="515" width="12.85546875" style="224" customWidth="1"/>
    <col min="516" max="523" width="9.140625" style="224"/>
    <col min="524" max="524" width="0" style="224" hidden="1" customWidth="1"/>
    <col min="525" max="525" width="12" style="224" bestFit="1" customWidth="1"/>
    <col min="526" max="768" width="9.140625" style="224"/>
    <col min="769" max="769" width="39" style="224" customWidth="1"/>
    <col min="770" max="771" width="12.85546875" style="224" customWidth="1"/>
    <col min="772" max="779" width="9.140625" style="224"/>
    <col min="780" max="780" width="0" style="224" hidden="1" customWidth="1"/>
    <col min="781" max="781" width="12" style="224" bestFit="1" customWidth="1"/>
    <col min="782" max="1024" width="9.140625" style="224"/>
    <col min="1025" max="1025" width="39" style="224" customWidth="1"/>
    <col min="1026" max="1027" width="12.85546875" style="224" customWidth="1"/>
    <col min="1028" max="1035" width="9.140625" style="224"/>
    <col min="1036" max="1036" width="0" style="224" hidden="1" customWidth="1"/>
    <col min="1037" max="1037" width="12" style="224" bestFit="1" customWidth="1"/>
    <col min="1038" max="1280" width="9.140625" style="224"/>
    <col min="1281" max="1281" width="39" style="224" customWidth="1"/>
    <col min="1282" max="1283" width="12.85546875" style="224" customWidth="1"/>
    <col min="1284" max="1291" width="9.140625" style="224"/>
    <col min="1292" max="1292" width="0" style="224" hidden="1" customWidth="1"/>
    <col min="1293" max="1293" width="12" style="224" bestFit="1" customWidth="1"/>
    <col min="1294" max="1536" width="9.140625" style="224"/>
    <col min="1537" max="1537" width="39" style="224" customWidth="1"/>
    <col min="1538" max="1539" width="12.85546875" style="224" customWidth="1"/>
    <col min="1540" max="1547" width="9.140625" style="224"/>
    <col min="1548" max="1548" width="0" style="224" hidden="1" customWidth="1"/>
    <col min="1549" max="1549" width="12" style="224" bestFit="1" customWidth="1"/>
    <col min="1550" max="1792" width="9.140625" style="224"/>
    <col min="1793" max="1793" width="39" style="224" customWidth="1"/>
    <col min="1794" max="1795" width="12.85546875" style="224" customWidth="1"/>
    <col min="1796" max="1803" width="9.140625" style="224"/>
    <col min="1804" max="1804" width="0" style="224" hidden="1" customWidth="1"/>
    <col min="1805" max="1805" width="12" style="224" bestFit="1" customWidth="1"/>
    <col min="1806" max="2048" width="9.140625" style="224"/>
    <col min="2049" max="2049" width="39" style="224" customWidth="1"/>
    <col min="2050" max="2051" width="12.85546875" style="224" customWidth="1"/>
    <col min="2052" max="2059" width="9.140625" style="224"/>
    <col min="2060" max="2060" width="0" style="224" hidden="1" customWidth="1"/>
    <col min="2061" max="2061" width="12" style="224" bestFit="1" customWidth="1"/>
    <col min="2062" max="2304" width="9.140625" style="224"/>
    <col min="2305" max="2305" width="39" style="224" customWidth="1"/>
    <col min="2306" max="2307" width="12.85546875" style="224" customWidth="1"/>
    <col min="2308" max="2315" width="9.140625" style="224"/>
    <col min="2316" max="2316" width="0" style="224" hidden="1" customWidth="1"/>
    <col min="2317" max="2317" width="12" style="224" bestFit="1" customWidth="1"/>
    <col min="2318" max="2560" width="9.140625" style="224"/>
    <col min="2561" max="2561" width="39" style="224" customWidth="1"/>
    <col min="2562" max="2563" width="12.85546875" style="224" customWidth="1"/>
    <col min="2564" max="2571" width="9.140625" style="224"/>
    <col min="2572" max="2572" width="0" style="224" hidden="1" customWidth="1"/>
    <col min="2573" max="2573" width="12" style="224" bestFit="1" customWidth="1"/>
    <col min="2574" max="2816" width="9.140625" style="224"/>
    <col min="2817" max="2817" width="39" style="224" customWidth="1"/>
    <col min="2818" max="2819" width="12.85546875" style="224" customWidth="1"/>
    <col min="2820" max="2827" width="9.140625" style="224"/>
    <col min="2828" max="2828" width="0" style="224" hidden="1" customWidth="1"/>
    <col min="2829" max="2829" width="12" style="224" bestFit="1" customWidth="1"/>
    <col min="2830" max="3072" width="9.140625" style="224"/>
    <col min="3073" max="3073" width="39" style="224" customWidth="1"/>
    <col min="3074" max="3075" width="12.85546875" style="224" customWidth="1"/>
    <col min="3076" max="3083" width="9.140625" style="224"/>
    <col min="3084" max="3084" width="0" style="224" hidden="1" customWidth="1"/>
    <col min="3085" max="3085" width="12" style="224" bestFit="1" customWidth="1"/>
    <col min="3086" max="3328" width="9.140625" style="224"/>
    <col min="3329" max="3329" width="39" style="224" customWidth="1"/>
    <col min="3330" max="3331" width="12.85546875" style="224" customWidth="1"/>
    <col min="3332" max="3339" width="9.140625" style="224"/>
    <col min="3340" max="3340" width="0" style="224" hidden="1" customWidth="1"/>
    <col min="3341" max="3341" width="12" style="224" bestFit="1" customWidth="1"/>
    <col min="3342" max="3584" width="9.140625" style="224"/>
    <col min="3585" max="3585" width="39" style="224" customWidth="1"/>
    <col min="3586" max="3587" width="12.85546875" style="224" customWidth="1"/>
    <col min="3588" max="3595" width="9.140625" style="224"/>
    <col min="3596" max="3596" width="0" style="224" hidden="1" customWidth="1"/>
    <col min="3597" max="3597" width="12" style="224" bestFit="1" customWidth="1"/>
    <col min="3598" max="3840" width="9.140625" style="224"/>
    <col min="3841" max="3841" width="39" style="224" customWidth="1"/>
    <col min="3842" max="3843" width="12.85546875" style="224" customWidth="1"/>
    <col min="3844" max="3851" width="9.140625" style="224"/>
    <col min="3852" max="3852" width="0" style="224" hidden="1" customWidth="1"/>
    <col min="3853" max="3853" width="12" style="224" bestFit="1" customWidth="1"/>
    <col min="3854" max="4096" width="9.140625" style="224"/>
    <col min="4097" max="4097" width="39" style="224" customWidth="1"/>
    <col min="4098" max="4099" width="12.85546875" style="224" customWidth="1"/>
    <col min="4100" max="4107" width="9.140625" style="224"/>
    <col min="4108" max="4108" width="0" style="224" hidden="1" customWidth="1"/>
    <col min="4109" max="4109" width="12" style="224" bestFit="1" customWidth="1"/>
    <col min="4110" max="4352" width="9.140625" style="224"/>
    <col min="4353" max="4353" width="39" style="224" customWidth="1"/>
    <col min="4354" max="4355" width="12.85546875" style="224" customWidth="1"/>
    <col min="4356" max="4363" width="9.140625" style="224"/>
    <col min="4364" max="4364" width="0" style="224" hidden="1" customWidth="1"/>
    <col min="4365" max="4365" width="12" style="224" bestFit="1" customWidth="1"/>
    <col min="4366" max="4608" width="9.140625" style="224"/>
    <col min="4609" max="4609" width="39" style="224" customWidth="1"/>
    <col min="4610" max="4611" width="12.85546875" style="224" customWidth="1"/>
    <col min="4612" max="4619" width="9.140625" style="224"/>
    <col min="4620" max="4620" width="0" style="224" hidden="1" customWidth="1"/>
    <col min="4621" max="4621" width="12" style="224" bestFit="1" customWidth="1"/>
    <col min="4622" max="4864" width="9.140625" style="224"/>
    <col min="4865" max="4865" width="39" style="224" customWidth="1"/>
    <col min="4866" max="4867" width="12.85546875" style="224" customWidth="1"/>
    <col min="4868" max="4875" width="9.140625" style="224"/>
    <col min="4876" max="4876" width="0" style="224" hidden="1" customWidth="1"/>
    <col min="4877" max="4877" width="12" style="224" bestFit="1" customWidth="1"/>
    <col min="4878" max="5120" width="9.140625" style="224"/>
    <col min="5121" max="5121" width="39" style="224" customWidth="1"/>
    <col min="5122" max="5123" width="12.85546875" style="224" customWidth="1"/>
    <col min="5124" max="5131" width="9.140625" style="224"/>
    <col min="5132" max="5132" width="0" style="224" hidden="1" customWidth="1"/>
    <col min="5133" max="5133" width="12" style="224" bestFit="1" customWidth="1"/>
    <col min="5134" max="5376" width="9.140625" style="224"/>
    <col min="5377" max="5377" width="39" style="224" customWidth="1"/>
    <col min="5378" max="5379" width="12.85546875" style="224" customWidth="1"/>
    <col min="5380" max="5387" width="9.140625" style="224"/>
    <col min="5388" max="5388" width="0" style="224" hidden="1" customWidth="1"/>
    <col min="5389" max="5389" width="12" style="224" bestFit="1" customWidth="1"/>
    <col min="5390" max="5632" width="9.140625" style="224"/>
    <col min="5633" max="5633" width="39" style="224" customWidth="1"/>
    <col min="5634" max="5635" width="12.85546875" style="224" customWidth="1"/>
    <col min="5636" max="5643" width="9.140625" style="224"/>
    <col min="5644" max="5644" width="0" style="224" hidden="1" customWidth="1"/>
    <col min="5645" max="5645" width="12" style="224" bestFit="1" customWidth="1"/>
    <col min="5646" max="5888" width="9.140625" style="224"/>
    <col min="5889" max="5889" width="39" style="224" customWidth="1"/>
    <col min="5890" max="5891" width="12.85546875" style="224" customWidth="1"/>
    <col min="5892" max="5899" width="9.140625" style="224"/>
    <col min="5900" max="5900" width="0" style="224" hidden="1" customWidth="1"/>
    <col min="5901" max="5901" width="12" style="224" bestFit="1" customWidth="1"/>
    <col min="5902" max="6144" width="9.140625" style="224"/>
    <col min="6145" max="6145" width="39" style="224" customWidth="1"/>
    <col min="6146" max="6147" width="12.85546875" style="224" customWidth="1"/>
    <col min="6148" max="6155" width="9.140625" style="224"/>
    <col min="6156" max="6156" width="0" style="224" hidden="1" customWidth="1"/>
    <col min="6157" max="6157" width="12" style="224" bestFit="1" customWidth="1"/>
    <col min="6158" max="6400" width="9.140625" style="224"/>
    <col min="6401" max="6401" width="39" style="224" customWidth="1"/>
    <col min="6402" max="6403" width="12.85546875" style="224" customWidth="1"/>
    <col min="6404" max="6411" width="9.140625" style="224"/>
    <col min="6412" max="6412" width="0" style="224" hidden="1" customWidth="1"/>
    <col min="6413" max="6413" width="12" style="224" bestFit="1" customWidth="1"/>
    <col min="6414" max="6656" width="9.140625" style="224"/>
    <col min="6657" max="6657" width="39" style="224" customWidth="1"/>
    <col min="6658" max="6659" width="12.85546875" style="224" customWidth="1"/>
    <col min="6660" max="6667" width="9.140625" style="224"/>
    <col min="6668" max="6668" width="0" style="224" hidden="1" customWidth="1"/>
    <col min="6669" max="6669" width="12" style="224" bestFit="1" customWidth="1"/>
    <col min="6670" max="6912" width="9.140625" style="224"/>
    <col min="6913" max="6913" width="39" style="224" customWidth="1"/>
    <col min="6914" max="6915" width="12.85546875" style="224" customWidth="1"/>
    <col min="6916" max="6923" width="9.140625" style="224"/>
    <col min="6924" max="6924" width="0" style="224" hidden="1" customWidth="1"/>
    <col min="6925" max="6925" width="12" style="224" bestFit="1" customWidth="1"/>
    <col min="6926" max="7168" width="9.140625" style="224"/>
    <col min="7169" max="7169" width="39" style="224" customWidth="1"/>
    <col min="7170" max="7171" width="12.85546875" style="224" customWidth="1"/>
    <col min="7172" max="7179" width="9.140625" style="224"/>
    <col min="7180" max="7180" width="0" style="224" hidden="1" customWidth="1"/>
    <col min="7181" max="7181" width="12" style="224" bestFit="1" customWidth="1"/>
    <col min="7182" max="7424" width="9.140625" style="224"/>
    <col min="7425" max="7425" width="39" style="224" customWidth="1"/>
    <col min="7426" max="7427" width="12.85546875" style="224" customWidth="1"/>
    <col min="7428" max="7435" width="9.140625" style="224"/>
    <col min="7436" max="7436" width="0" style="224" hidden="1" customWidth="1"/>
    <col min="7437" max="7437" width="12" style="224" bestFit="1" customWidth="1"/>
    <col min="7438" max="7680" width="9.140625" style="224"/>
    <col min="7681" max="7681" width="39" style="224" customWidth="1"/>
    <col min="7682" max="7683" width="12.85546875" style="224" customWidth="1"/>
    <col min="7684" max="7691" width="9.140625" style="224"/>
    <col min="7692" max="7692" width="0" style="224" hidden="1" customWidth="1"/>
    <col min="7693" max="7693" width="12" style="224" bestFit="1" customWidth="1"/>
    <col min="7694" max="7936" width="9.140625" style="224"/>
    <col min="7937" max="7937" width="39" style="224" customWidth="1"/>
    <col min="7938" max="7939" width="12.85546875" style="224" customWidth="1"/>
    <col min="7940" max="7947" width="9.140625" style="224"/>
    <col min="7948" max="7948" width="0" style="224" hidden="1" customWidth="1"/>
    <col min="7949" max="7949" width="12" style="224" bestFit="1" customWidth="1"/>
    <col min="7950" max="8192" width="9.140625" style="224"/>
    <col min="8193" max="8193" width="39" style="224" customWidth="1"/>
    <col min="8194" max="8195" width="12.85546875" style="224" customWidth="1"/>
    <col min="8196" max="8203" width="9.140625" style="224"/>
    <col min="8204" max="8204" width="0" style="224" hidden="1" customWidth="1"/>
    <col min="8205" max="8205" width="12" style="224" bestFit="1" customWidth="1"/>
    <col min="8206" max="8448" width="9.140625" style="224"/>
    <col min="8449" max="8449" width="39" style="224" customWidth="1"/>
    <col min="8450" max="8451" width="12.85546875" style="224" customWidth="1"/>
    <col min="8452" max="8459" width="9.140625" style="224"/>
    <col min="8460" max="8460" width="0" style="224" hidden="1" customWidth="1"/>
    <col min="8461" max="8461" width="12" style="224" bestFit="1" customWidth="1"/>
    <col min="8462" max="8704" width="9.140625" style="224"/>
    <col min="8705" max="8705" width="39" style="224" customWidth="1"/>
    <col min="8706" max="8707" width="12.85546875" style="224" customWidth="1"/>
    <col min="8708" max="8715" width="9.140625" style="224"/>
    <col min="8716" max="8716" width="0" style="224" hidden="1" customWidth="1"/>
    <col min="8717" max="8717" width="12" style="224" bestFit="1" customWidth="1"/>
    <col min="8718" max="8960" width="9.140625" style="224"/>
    <col min="8961" max="8961" width="39" style="224" customWidth="1"/>
    <col min="8962" max="8963" width="12.85546875" style="224" customWidth="1"/>
    <col min="8964" max="8971" width="9.140625" style="224"/>
    <col min="8972" max="8972" width="0" style="224" hidden="1" customWidth="1"/>
    <col min="8973" max="8973" width="12" style="224" bestFit="1" customWidth="1"/>
    <col min="8974" max="9216" width="9.140625" style="224"/>
    <col min="9217" max="9217" width="39" style="224" customWidth="1"/>
    <col min="9218" max="9219" width="12.85546875" style="224" customWidth="1"/>
    <col min="9220" max="9227" width="9.140625" style="224"/>
    <col min="9228" max="9228" width="0" style="224" hidden="1" customWidth="1"/>
    <col min="9229" max="9229" width="12" style="224" bestFit="1" customWidth="1"/>
    <col min="9230" max="9472" width="9.140625" style="224"/>
    <col min="9473" max="9473" width="39" style="224" customWidth="1"/>
    <col min="9474" max="9475" width="12.85546875" style="224" customWidth="1"/>
    <col min="9476" max="9483" width="9.140625" style="224"/>
    <col min="9484" max="9484" width="0" style="224" hidden="1" customWidth="1"/>
    <col min="9485" max="9485" width="12" style="224" bestFit="1" customWidth="1"/>
    <col min="9486" max="9728" width="9.140625" style="224"/>
    <col min="9729" max="9729" width="39" style="224" customWidth="1"/>
    <col min="9730" max="9731" width="12.85546875" style="224" customWidth="1"/>
    <col min="9732" max="9739" width="9.140625" style="224"/>
    <col min="9740" max="9740" width="0" style="224" hidden="1" customWidth="1"/>
    <col min="9741" max="9741" width="12" style="224" bestFit="1" customWidth="1"/>
    <col min="9742" max="9984" width="9.140625" style="224"/>
    <col min="9985" max="9985" width="39" style="224" customWidth="1"/>
    <col min="9986" max="9987" width="12.85546875" style="224" customWidth="1"/>
    <col min="9988" max="9995" width="9.140625" style="224"/>
    <col min="9996" max="9996" width="0" style="224" hidden="1" customWidth="1"/>
    <col min="9997" max="9997" width="12" style="224" bestFit="1" customWidth="1"/>
    <col min="9998" max="10240" width="9.140625" style="224"/>
    <col min="10241" max="10241" width="39" style="224" customWidth="1"/>
    <col min="10242" max="10243" width="12.85546875" style="224" customWidth="1"/>
    <col min="10244" max="10251" width="9.140625" style="224"/>
    <col min="10252" max="10252" width="0" style="224" hidden="1" customWidth="1"/>
    <col min="10253" max="10253" width="12" style="224" bestFit="1" customWidth="1"/>
    <col min="10254" max="10496" width="9.140625" style="224"/>
    <col min="10497" max="10497" width="39" style="224" customWidth="1"/>
    <col min="10498" max="10499" width="12.85546875" style="224" customWidth="1"/>
    <col min="10500" max="10507" width="9.140625" style="224"/>
    <col min="10508" max="10508" width="0" style="224" hidden="1" customWidth="1"/>
    <col min="10509" max="10509" width="12" style="224" bestFit="1" customWidth="1"/>
    <col min="10510" max="10752" width="9.140625" style="224"/>
    <col min="10753" max="10753" width="39" style="224" customWidth="1"/>
    <col min="10754" max="10755" width="12.85546875" style="224" customWidth="1"/>
    <col min="10756" max="10763" width="9.140625" style="224"/>
    <col min="10764" max="10764" width="0" style="224" hidden="1" customWidth="1"/>
    <col min="10765" max="10765" width="12" style="224" bestFit="1" customWidth="1"/>
    <col min="10766" max="11008" width="9.140625" style="224"/>
    <col min="11009" max="11009" width="39" style="224" customWidth="1"/>
    <col min="11010" max="11011" width="12.85546875" style="224" customWidth="1"/>
    <col min="11012" max="11019" width="9.140625" style="224"/>
    <col min="11020" max="11020" width="0" style="224" hidden="1" customWidth="1"/>
    <col min="11021" max="11021" width="12" style="224" bestFit="1" customWidth="1"/>
    <col min="11022" max="11264" width="9.140625" style="224"/>
    <col min="11265" max="11265" width="39" style="224" customWidth="1"/>
    <col min="11266" max="11267" width="12.85546875" style="224" customWidth="1"/>
    <col min="11268" max="11275" width="9.140625" style="224"/>
    <col min="11276" max="11276" width="0" style="224" hidden="1" customWidth="1"/>
    <col min="11277" max="11277" width="12" style="224" bestFit="1" customWidth="1"/>
    <col min="11278" max="11520" width="9.140625" style="224"/>
    <col min="11521" max="11521" width="39" style="224" customWidth="1"/>
    <col min="11522" max="11523" width="12.85546875" style="224" customWidth="1"/>
    <col min="11524" max="11531" width="9.140625" style="224"/>
    <col min="11532" max="11532" width="0" style="224" hidden="1" customWidth="1"/>
    <col min="11533" max="11533" width="12" style="224" bestFit="1" customWidth="1"/>
    <col min="11534" max="11776" width="9.140625" style="224"/>
    <col min="11777" max="11777" width="39" style="224" customWidth="1"/>
    <col min="11778" max="11779" width="12.85546875" style="224" customWidth="1"/>
    <col min="11780" max="11787" width="9.140625" style="224"/>
    <col min="11788" max="11788" width="0" style="224" hidden="1" customWidth="1"/>
    <col min="11789" max="11789" width="12" style="224" bestFit="1" customWidth="1"/>
    <col min="11790" max="12032" width="9.140625" style="224"/>
    <col min="12033" max="12033" width="39" style="224" customWidth="1"/>
    <col min="12034" max="12035" width="12.85546875" style="224" customWidth="1"/>
    <col min="12036" max="12043" width="9.140625" style="224"/>
    <col min="12044" max="12044" width="0" style="224" hidden="1" customWidth="1"/>
    <col min="12045" max="12045" width="12" style="224" bestFit="1" customWidth="1"/>
    <col min="12046" max="12288" width="9.140625" style="224"/>
    <col min="12289" max="12289" width="39" style="224" customWidth="1"/>
    <col min="12290" max="12291" width="12.85546875" style="224" customWidth="1"/>
    <col min="12292" max="12299" width="9.140625" style="224"/>
    <col min="12300" max="12300" width="0" style="224" hidden="1" customWidth="1"/>
    <col min="12301" max="12301" width="12" style="224" bestFit="1" customWidth="1"/>
    <col min="12302" max="12544" width="9.140625" style="224"/>
    <col min="12545" max="12545" width="39" style="224" customWidth="1"/>
    <col min="12546" max="12547" width="12.85546875" style="224" customWidth="1"/>
    <col min="12548" max="12555" width="9.140625" style="224"/>
    <col min="12556" max="12556" width="0" style="224" hidden="1" customWidth="1"/>
    <col min="12557" max="12557" width="12" style="224" bestFit="1" customWidth="1"/>
    <col min="12558" max="12800" width="9.140625" style="224"/>
    <col min="12801" max="12801" width="39" style="224" customWidth="1"/>
    <col min="12802" max="12803" width="12.85546875" style="224" customWidth="1"/>
    <col min="12804" max="12811" width="9.140625" style="224"/>
    <col min="12812" max="12812" width="0" style="224" hidden="1" customWidth="1"/>
    <col min="12813" max="12813" width="12" style="224" bestFit="1" customWidth="1"/>
    <col min="12814" max="13056" width="9.140625" style="224"/>
    <col min="13057" max="13057" width="39" style="224" customWidth="1"/>
    <col min="13058" max="13059" width="12.85546875" style="224" customWidth="1"/>
    <col min="13060" max="13067" width="9.140625" style="224"/>
    <col min="13068" max="13068" width="0" style="224" hidden="1" customWidth="1"/>
    <col min="13069" max="13069" width="12" style="224" bestFit="1" customWidth="1"/>
    <col min="13070" max="13312" width="9.140625" style="224"/>
    <col min="13313" max="13313" width="39" style="224" customWidth="1"/>
    <col min="13314" max="13315" width="12.85546875" style="224" customWidth="1"/>
    <col min="13316" max="13323" width="9.140625" style="224"/>
    <col min="13324" max="13324" width="0" style="224" hidden="1" customWidth="1"/>
    <col min="13325" max="13325" width="12" style="224" bestFit="1" customWidth="1"/>
    <col min="13326" max="13568" width="9.140625" style="224"/>
    <col min="13569" max="13569" width="39" style="224" customWidth="1"/>
    <col min="13570" max="13571" width="12.85546875" style="224" customWidth="1"/>
    <col min="13572" max="13579" width="9.140625" style="224"/>
    <col min="13580" max="13580" width="0" style="224" hidden="1" customWidth="1"/>
    <col min="13581" max="13581" width="12" style="224" bestFit="1" customWidth="1"/>
    <col min="13582" max="13824" width="9.140625" style="224"/>
    <col min="13825" max="13825" width="39" style="224" customWidth="1"/>
    <col min="13826" max="13827" width="12.85546875" style="224" customWidth="1"/>
    <col min="13828" max="13835" width="9.140625" style="224"/>
    <col min="13836" max="13836" width="0" style="224" hidden="1" customWidth="1"/>
    <col min="13837" max="13837" width="12" style="224" bestFit="1" customWidth="1"/>
    <col min="13838" max="14080" width="9.140625" style="224"/>
    <col min="14081" max="14081" width="39" style="224" customWidth="1"/>
    <col min="14082" max="14083" width="12.85546875" style="224" customWidth="1"/>
    <col min="14084" max="14091" width="9.140625" style="224"/>
    <col min="14092" max="14092" width="0" style="224" hidden="1" customWidth="1"/>
    <col min="14093" max="14093" width="12" style="224" bestFit="1" customWidth="1"/>
    <col min="14094" max="14336" width="9.140625" style="224"/>
    <col min="14337" max="14337" width="39" style="224" customWidth="1"/>
    <col min="14338" max="14339" width="12.85546875" style="224" customWidth="1"/>
    <col min="14340" max="14347" width="9.140625" style="224"/>
    <col min="14348" max="14348" width="0" style="224" hidden="1" customWidth="1"/>
    <col min="14349" max="14349" width="12" style="224" bestFit="1" customWidth="1"/>
    <col min="14350" max="14592" width="9.140625" style="224"/>
    <col min="14593" max="14593" width="39" style="224" customWidth="1"/>
    <col min="14594" max="14595" width="12.85546875" style="224" customWidth="1"/>
    <col min="14596" max="14603" width="9.140625" style="224"/>
    <col min="14604" max="14604" width="0" style="224" hidden="1" customWidth="1"/>
    <col min="14605" max="14605" width="12" style="224" bestFit="1" customWidth="1"/>
    <col min="14606" max="14848" width="9.140625" style="224"/>
    <col min="14849" max="14849" width="39" style="224" customWidth="1"/>
    <col min="14850" max="14851" width="12.85546875" style="224" customWidth="1"/>
    <col min="14852" max="14859" width="9.140625" style="224"/>
    <col min="14860" max="14860" width="0" style="224" hidden="1" customWidth="1"/>
    <col min="14861" max="14861" width="12" style="224" bestFit="1" customWidth="1"/>
    <col min="14862" max="15104" width="9.140625" style="224"/>
    <col min="15105" max="15105" width="39" style="224" customWidth="1"/>
    <col min="15106" max="15107" width="12.85546875" style="224" customWidth="1"/>
    <col min="15108" max="15115" width="9.140625" style="224"/>
    <col min="15116" max="15116" width="0" style="224" hidden="1" customWidth="1"/>
    <col min="15117" max="15117" width="12" style="224" bestFit="1" customWidth="1"/>
    <col min="15118" max="15360" width="9.140625" style="224"/>
    <col min="15361" max="15361" width="39" style="224" customWidth="1"/>
    <col min="15362" max="15363" width="12.85546875" style="224" customWidth="1"/>
    <col min="15364" max="15371" width="9.140625" style="224"/>
    <col min="15372" max="15372" width="0" style="224" hidden="1" customWidth="1"/>
    <col min="15373" max="15373" width="12" style="224" bestFit="1" customWidth="1"/>
    <col min="15374" max="15616" width="9.140625" style="224"/>
    <col min="15617" max="15617" width="39" style="224" customWidth="1"/>
    <col min="15618" max="15619" width="12.85546875" style="224" customWidth="1"/>
    <col min="15620" max="15627" width="9.140625" style="224"/>
    <col min="15628" max="15628" width="0" style="224" hidden="1" customWidth="1"/>
    <col min="15629" max="15629" width="12" style="224" bestFit="1" customWidth="1"/>
    <col min="15630" max="15872" width="9.140625" style="224"/>
    <col min="15873" max="15873" width="39" style="224" customWidth="1"/>
    <col min="15874" max="15875" width="12.85546875" style="224" customWidth="1"/>
    <col min="15876" max="15883" width="9.140625" style="224"/>
    <col min="15884" max="15884" width="0" style="224" hidden="1" customWidth="1"/>
    <col min="15885" max="15885" width="12" style="224" bestFit="1" customWidth="1"/>
    <col min="15886" max="16128" width="9.140625" style="224"/>
    <col min="16129" max="16129" width="39" style="224" customWidth="1"/>
    <col min="16130" max="16131" width="12.85546875" style="224" customWidth="1"/>
    <col min="16132" max="16139" width="9.140625" style="224"/>
    <col min="16140" max="16140" width="0" style="224" hidden="1" customWidth="1"/>
    <col min="16141" max="16141" width="12" style="224" bestFit="1" customWidth="1"/>
    <col min="16142" max="16384" width="9.140625" style="224"/>
  </cols>
  <sheetData>
    <row r="1" spans="1:13">
      <c r="A1" s="221" t="s">
        <v>418</v>
      </c>
      <c r="B1" s="222" t="s">
        <v>419</v>
      </c>
      <c r="C1" s="223" t="s">
        <v>420</v>
      </c>
      <c r="L1" s="224" t="s">
        <v>312</v>
      </c>
    </row>
    <row r="2" spans="1:13">
      <c r="A2" s="225" t="s">
        <v>430</v>
      </c>
      <c r="B2" s="226" t="s">
        <v>312</v>
      </c>
      <c r="C2" s="227" t="s">
        <v>313</v>
      </c>
      <c r="L2" s="228" t="s">
        <v>313</v>
      </c>
      <c r="M2" s="228"/>
    </row>
    <row r="3" spans="1:13">
      <c r="A3" s="229" t="s">
        <v>421</v>
      </c>
      <c r="B3" s="226" t="s">
        <v>312</v>
      </c>
      <c r="C3" s="227" t="s">
        <v>313</v>
      </c>
    </row>
    <row r="4" spans="1:13">
      <c r="A4" s="229" t="s">
        <v>422</v>
      </c>
      <c r="B4" s="226" t="s">
        <v>312</v>
      </c>
      <c r="C4" s="227" t="s">
        <v>313</v>
      </c>
      <c r="L4" s="228" t="s">
        <v>314</v>
      </c>
      <c r="M4" s="228"/>
    </row>
    <row r="5" spans="1:13">
      <c r="A5" s="229" t="s">
        <v>805</v>
      </c>
      <c r="B5" s="226" t="s">
        <v>312</v>
      </c>
      <c r="C5" s="227" t="s">
        <v>313</v>
      </c>
      <c r="L5" s="228"/>
      <c r="M5" s="228"/>
    </row>
    <row r="6" spans="1:13">
      <c r="A6" s="229" t="s">
        <v>806</v>
      </c>
      <c r="B6" s="226" t="s">
        <v>312</v>
      </c>
      <c r="C6" s="227" t="s">
        <v>313</v>
      </c>
      <c r="L6" s="228"/>
      <c r="M6" s="228"/>
    </row>
    <row r="7" spans="1:13">
      <c r="A7" s="229" t="s">
        <v>423</v>
      </c>
      <c r="B7" s="226" t="s">
        <v>424</v>
      </c>
      <c r="C7" s="227" t="s">
        <v>425</v>
      </c>
      <c r="L7" s="228" t="s">
        <v>317</v>
      </c>
      <c r="M7" s="228"/>
    </row>
    <row r="8" spans="1:13">
      <c r="A8" s="225" t="s">
        <v>431</v>
      </c>
      <c r="B8" s="226" t="s">
        <v>314</v>
      </c>
      <c r="C8" s="227" t="s">
        <v>317</v>
      </c>
    </row>
    <row r="9" spans="1:13">
      <c r="A9" s="225" t="s">
        <v>432</v>
      </c>
      <c r="B9" s="226"/>
      <c r="C9" s="227"/>
      <c r="L9" s="228" t="s">
        <v>315</v>
      </c>
      <c r="M9" s="228"/>
    </row>
    <row r="10" spans="1:13">
      <c r="A10" s="225" t="s">
        <v>433</v>
      </c>
      <c r="B10" s="226" t="s">
        <v>312</v>
      </c>
      <c r="C10" s="227" t="s">
        <v>313</v>
      </c>
      <c r="L10" s="228" t="s">
        <v>316</v>
      </c>
      <c r="M10" s="228"/>
    </row>
    <row r="11" spans="1:13">
      <c r="A11" s="225" t="s">
        <v>434</v>
      </c>
      <c r="B11" s="226" t="s">
        <v>312</v>
      </c>
      <c r="C11" s="227" t="s">
        <v>313</v>
      </c>
    </row>
    <row r="12" spans="1:13">
      <c r="A12" s="225" t="s">
        <v>435</v>
      </c>
      <c r="B12" s="226" t="s">
        <v>312</v>
      </c>
      <c r="C12" s="227" t="s">
        <v>313</v>
      </c>
      <c r="L12" s="228" t="s">
        <v>426</v>
      </c>
      <c r="M12" s="228"/>
    </row>
    <row r="13" spans="1:13">
      <c r="A13" s="225" t="s">
        <v>436</v>
      </c>
      <c r="B13" s="226" t="s">
        <v>314</v>
      </c>
      <c r="C13" s="227" t="s">
        <v>317</v>
      </c>
      <c r="L13" s="228" t="s">
        <v>427</v>
      </c>
      <c r="M13" s="228"/>
    </row>
    <row r="14" spans="1:13">
      <c r="A14" s="225" t="s">
        <v>437</v>
      </c>
      <c r="B14" s="226" t="s">
        <v>312</v>
      </c>
      <c r="C14" s="227" t="s">
        <v>313</v>
      </c>
    </row>
    <row r="15" spans="1:13">
      <c r="A15" s="225" t="s">
        <v>438</v>
      </c>
      <c r="B15" s="226" t="s">
        <v>312</v>
      </c>
      <c r="C15" s="227" t="s">
        <v>313</v>
      </c>
      <c r="L15" s="228" t="s">
        <v>428</v>
      </c>
      <c r="M15" s="228"/>
    </row>
    <row r="16" spans="1:13">
      <c r="A16" s="225" t="s">
        <v>439</v>
      </c>
      <c r="B16" s="226" t="s">
        <v>426</v>
      </c>
      <c r="C16" s="227" t="s">
        <v>427</v>
      </c>
      <c r="L16" s="228" t="s">
        <v>318</v>
      </c>
      <c r="M16" s="228"/>
    </row>
    <row r="17" spans="1:13">
      <c r="A17" s="225" t="s">
        <v>440</v>
      </c>
      <c r="B17" s="226" t="s">
        <v>426</v>
      </c>
      <c r="C17" s="227" t="s">
        <v>427</v>
      </c>
    </row>
    <row r="18" spans="1:13">
      <c r="A18" s="225" t="s">
        <v>441</v>
      </c>
      <c r="B18" s="226" t="s">
        <v>426</v>
      </c>
      <c r="C18" s="227" t="s">
        <v>427</v>
      </c>
      <c r="L18" s="228" t="s">
        <v>424</v>
      </c>
      <c r="M18" s="228"/>
    </row>
    <row r="19" spans="1:13" ht="13.5" thickBot="1">
      <c r="A19" s="311" t="s">
        <v>429</v>
      </c>
      <c r="B19" s="230" t="s">
        <v>428</v>
      </c>
      <c r="C19" s="231" t="s">
        <v>318</v>
      </c>
      <c r="L19" s="228" t="s">
        <v>425</v>
      </c>
      <c r="M19" s="228"/>
    </row>
    <row r="20" spans="1:13">
      <c r="A20" s="232"/>
    </row>
  </sheetData>
  <sheetProtection password="DE15" sheet="1" selectLockedCells="1"/>
  <dataValidations count="8">
    <dataValidation type="list" allowBlank="1" showInputMessage="1" showErrorMessage="1" errorTitle="Error message" error="Type not valid!" sqref="B65552:C65555 WVJ983056:WVK983059 WLN983056:WLO983059 WBR983056:WBS983059 VRV983056:VRW983059 VHZ983056:VIA983059 UYD983056:UYE983059 UOH983056:UOI983059 UEL983056:UEM983059 TUP983056:TUQ983059 TKT983056:TKU983059 TAX983056:TAY983059 SRB983056:SRC983059 SHF983056:SHG983059 RXJ983056:RXK983059 RNN983056:RNO983059 RDR983056:RDS983059 QTV983056:QTW983059 QJZ983056:QKA983059 QAD983056:QAE983059 PQH983056:PQI983059 PGL983056:PGM983059 OWP983056:OWQ983059 OMT983056:OMU983059 OCX983056:OCY983059 NTB983056:NTC983059 NJF983056:NJG983059 MZJ983056:MZK983059 MPN983056:MPO983059 MFR983056:MFS983059 LVV983056:LVW983059 LLZ983056:LMA983059 LCD983056:LCE983059 KSH983056:KSI983059 KIL983056:KIM983059 JYP983056:JYQ983059 JOT983056:JOU983059 JEX983056:JEY983059 IVB983056:IVC983059 ILF983056:ILG983059 IBJ983056:IBK983059 HRN983056:HRO983059 HHR983056:HHS983059 GXV983056:GXW983059 GNZ983056:GOA983059 GED983056:GEE983059 FUH983056:FUI983059 FKL983056:FKM983059 FAP983056:FAQ983059 EQT983056:EQU983059 EGX983056:EGY983059 DXB983056:DXC983059 DNF983056:DNG983059 DDJ983056:DDK983059 CTN983056:CTO983059 CJR983056:CJS983059 BZV983056:BZW983059 BPZ983056:BQA983059 BGD983056:BGE983059 AWH983056:AWI983059 AML983056:AMM983059 ACP983056:ACQ983059 ST983056:SU983059 IX983056:IY983059 B983056:C983059 WVJ917520:WVK917523 WLN917520:WLO917523 WBR917520:WBS917523 VRV917520:VRW917523 VHZ917520:VIA917523 UYD917520:UYE917523 UOH917520:UOI917523 UEL917520:UEM917523 TUP917520:TUQ917523 TKT917520:TKU917523 TAX917520:TAY917523 SRB917520:SRC917523 SHF917520:SHG917523 RXJ917520:RXK917523 RNN917520:RNO917523 RDR917520:RDS917523 QTV917520:QTW917523 QJZ917520:QKA917523 QAD917520:QAE917523 PQH917520:PQI917523 PGL917520:PGM917523 OWP917520:OWQ917523 OMT917520:OMU917523 OCX917520:OCY917523 NTB917520:NTC917523 NJF917520:NJG917523 MZJ917520:MZK917523 MPN917520:MPO917523 MFR917520:MFS917523 LVV917520:LVW917523 LLZ917520:LMA917523 LCD917520:LCE917523 KSH917520:KSI917523 KIL917520:KIM917523 JYP917520:JYQ917523 JOT917520:JOU917523 JEX917520:JEY917523 IVB917520:IVC917523 ILF917520:ILG917523 IBJ917520:IBK917523 HRN917520:HRO917523 HHR917520:HHS917523 GXV917520:GXW917523 GNZ917520:GOA917523 GED917520:GEE917523 FUH917520:FUI917523 FKL917520:FKM917523 FAP917520:FAQ917523 EQT917520:EQU917523 EGX917520:EGY917523 DXB917520:DXC917523 DNF917520:DNG917523 DDJ917520:DDK917523 CTN917520:CTO917523 CJR917520:CJS917523 BZV917520:BZW917523 BPZ917520:BQA917523 BGD917520:BGE917523 AWH917520:AWI917523 AML917520:AMM917523 ACP917520:ACQ917523 ST917520:SU917523 IX917520:IY917523 B917520:C917523 WVJ851984:WVK851987 WLN851984:WLO851987 WBR851984:WBS851987 VRV851984:VRW851987 VHZ851984:VIA851987 UYD851984:UYE851987 UOH851984:UOI851987 UEL851984:UEM851987 TUP851984:TUQ851987 TKT851984:TKU851987 TAX851984:TAY851987 SRB851984:SRC851987 SHF851984:SHG851987 RXJ851984:RXK851987 RNN851984:RNO851987 RDR851984:RDS851987 QTV851984:QTW851987 QJZ851984:QKA851987 QAD851984:QAE851987 PQH851984:PQI851987 PGL851984:PGM851987 OWP851984:OWQ851987 OMT851984:OMU851987 OCX851984:OCY851987 NTB851984:NTC851987 NJF851984:NJG851987 MZJ851984:MZK851987 MPN851984:MPO851987 MFR851984:MFS851987 LVV851984:LVW851987 LLZ851984:LMA851987 LCD851984:LCE851987 KSH851984:KSI851987 KIL851984:KIM851987 JYP851984:JYQ851987 JOT851984:JOU851987 JEX851984:JEY851987 IVB851984:IVC851987 ILF851984:ILG851987 IBJ851984:IBK851987 HRN851984:HRO851987 HHR851984:HHS851987 GXV851984:GXW851987 GNZ851984:GOA851987 GED851984:GEE851987 FUH851984:FUI851987 FKL851984:FKM851987 FAP851984:FAQ851987 EQT851984:EQU851987 EGX851984:EGY851987 DXB851984:DXC851987 DNF851984:DNG851987 DDJ851984:DDK851987 CTN851984:CTO851987 CJR851984:CJS851987 BZV851984:BZW851987 BPZ851984:BQA851987 BGD851984:BGE851987 AWH851984:AWI851987 AML851984:AMM851987 ACP851984:ACQ851987 ST851984:SU851987 IX851984:IY851987 B851984:C851987 WVJ786448:WVK786451 WLN786448:WLO786451 WBR786448:WBS786451 VRV786448:VRW786451 VHZ786448:VIA786451 UYD786448:UYE786451 UOH786448:UOI786451 UEL786448:UEM786451 TUP786448:TUQ786451 TKT786448:TKU786451 TAX786448:TAY786451 SRB786448:SRC786451 SHF786448:SHG786451 RXJ786448:RXK786451 RNN786448:RNO786451 RDR786448:RDS786451 QTV786448:QTW786451 QJZ786448:QKA786451 QAD786448:QAE786451 PQH786448:PQI786451 PGL786448:PGM786451 OWP786448:OWQ786451 OMT786448:OMU786451 OCX786448:OCY786451 NTB786448:NTC786451 NJF786448:NJG786451 MZJ786448:MZK786451 MPN786448:MPO786451 MFR786448:MFS786451 LVV786448:LVW786451 LLZ786448:LMA786451 LCD786448:LCE786451 KSH786448:KSI786451 KIL786448:KIM786451 JYP786448:JYQ786451 JOT786448:JOU786451 JEX786448:JEY786451 IVB786448:IVC786451 ILF786448:ILG786451 IBJ786448:IBK786451 HRN786448:HRO786451 HHR786448:HHS786451 GXV786448:GXW786451 GNZ786448:GOA786451 GED786448:GEE786451 FUH786448:FUI786451 FKL786448:FKM786451 FAP786448:FAQ786451 EQT786448:EQU786451 EGX786448:EGY786451 DXB786448:DXC786451 DNF786448:DNG786451 DDJ786448:DDK786451 CTN786448:CTO786451 CJR786448:CJS786451 BZV786448:BZW786451 BPZ786448:BQA786451 BGD786448:BGE786451 AWH786448:AWI786451 AML786448:AMM786451 ACP786448:ACQ786451 ST786448:SU786451 IX786448:IY786451 B786448:C786451 WVJ720912:WVK720915 WLN720912:WLO720915 WBR720912:WBS720915 VRV720912:VRW720915 VHZ720912:VIA720915 UYD720912:UYE720915 UOH720912:UOI720915 UEL720912:UEM720915 TUP720912:TUQ720915 TKT720912:TKU720915 TAX720912:TAY720915 SRB720912:SRC720915 SHF720912:SHG720915 RXJ720912:RXK720915 RNN720912:RNO720915 RDR720912:RDS720915 QTV720912:QTW720915 QJZ720912:QKA720915 QAD720912:QAE720915 PQH720912:PQI720915 PGL720912:PGM720915 OWP720912:OWQ720915 OMT720912:OMU720915 OCX720912:OCY720915 NTB720912:NTC720915 NJF720912:NJG720915 MZJ720912:MZK720915 MPN720912:MPO720915 MFR720912:MFS720915 LVV720912:LVW720915 LLZ720912:LMA720915 LCD720912:LCE720915 KSH720912:KSI720915 KIL720912:KIM720915 JYP720912:JYQ720915 JOT720912:JOU720915 JEX720912:JEY720915 IVB720912:IVC720915 ILF720912:ILG720915 IBJ720912:IBK720915 HRN720912:HRO720915 HHR720912:HHS720915 GXV720912:GXW720915 GNZ720912:GOA720915 GED720912:GEE720915 FUH720912:FUI720915 FKL720912:FKM720915 FAP720912:FAQ720915 EQT720912:EQU720915 EGX720912:EGY720915 DXB720912:DXC720915 DNF720912:DNG720915 DDJ720912:DDK720915 CTN720912:CTO720915 CJR720912:CJS720915 BZV720912:BZW720915 BPZ720912:BQA720915 BGD720912:BGE720915 AWH720912:AWI720915 AML720912:AMM720915 ACP720912:ACQ720915 ST720912:SU720915 IX720912:IY720915 B720912:C720915 WVJ655376:WVK655379 WLN655376:WLO655379 WBR655376:WBS655379 VRV655376:VRW655379 VHZ655376:VIA655379 UYD655376:UYE655379 UOH655376:UOI655379 UEL655376:UEM655379 TUP655376:TUQ655379 TKT655376:TKU655379 TAX655376:TAY655379 SRB655376:SRC655379 SHF655376:SHG655379 RXJ655376:RXK655379 RNN655376:RNO655379 RDR655376:RDS655379 QTV655376:QTW655379 QJZ655376:QKA655379 QAD655376:QAE655379 PQH655376:PQI655379 PGL655376:PGM655379 OWP655376:OWQ655379 OMT655376:OMU655379 OCX655376:OCY655379 NTB655376:NTC655379 NJF655376:NJG655379 MZJ655376:MZK655379 MPN655376:MPO655379 MFR655376:MFS655379 LVV655376:LVW655379 LLZ655376:LMA655379 LCD655376:LCE655379 KSH655376:KSI655379 KIL655376:KIM655379 JYP655376:JYQ655379 JOT655376:JOU655379 JEX655376:JEY655379 IVB655376:IVC655379 ILF655376:ILG655379 IBJ655376:IBK655379 HRN655376:HRO655379 HHR655376:HHS655379 GXV655376:GXW655379 GNZ655376:GOA655379 GED655376:GEE655379 FUH655376:FUI655379 FKL655376:FKM655379 FAP655376:FAQ655379 EQT655376:EQU655379 EGX655376:EGY655379 DXB655376:DXC655379 DNF655376:DNG655379 DDJ655376:DDK655379 CTN655376:CTO655379 CJR655376:CJS655379 BZV655376:BZW655379 BPZ655376:BQA655379 BGD655376:BGE655379 AWH655376:AWI655379 AML655376:AMM655379 ACP655376:ACQ655379 ST655376:SU655379 IX655376:IY655379 B655376:C655379 WVJ589840:WVK589843 WLN589840:WLO589843 WBR589840:WBS589843 VRV589840:VRW589843 VHZ589840:VIA589843 UYD589840:UYE589843 UOH589840:UOI589843 UEL589840:UEM589843 TUP589840:TUQ589843 TKT589840:TKU589843 TAX589840:TAY589843 SRB589840:SRC589843 SHF589840:SHG589843 RXJ589840:RXK589843 RNN589840:RNO589843 RDR589840:RDS589843 QTV589840:QTW589843 QJZ589840:QKA589843 QAD589840:QAE589843 PQH589840:PQI589843 PGL589840:PGM589843 OWP589840:OWQ589843 OMT589840:OMU589843 OCX589840:OCY589843 NTB589840:NTC589843 NJF589840:NJG589843 MZJ589840:MZK589843 MPN589840:MPO589843 MFR589840:MFS589843 LVV589840:LVW589843 LLZ589840:LMA589843 LCD589840:LCE589843 KSH589840:KSI589843 KIL589840:KIM589843 JYP589840:JYQ589843 JOT589840:JOU589843 JEX589840:JEY589843 IVB589840:IVC589843 ILF589840:ILG589843 IBJ589840:IBK589843 HRN589840:HRO589843 HHR589840:HHS589843 GXV589840:GXW589843 GNZ589840:GOA589843 GED589840:GEE589843 FUH589840:FUI589843 FKL589840:FKM589843 FAP589840:FAQ589843 EQT589840:EQU589843 EGX589840:EGY589843 DXB589840:DXC589843 DNF589840:DNG589843 DDJ589840:DDK589843 CTN589840:CTO589843 CJR589840:CJS589843 BZV589840:BZW589843 BPZ589840:BQA589843 BGD589840:BGE589843 AWH589840:AWI589843 AML589840:AMM589843 ACP589840:ACQ589843 ST589840:SU589843 IX589840:IY589843 B589840:C589843 WVJ524304:WVK524307 WLN524304:WLO524307 WBR524304:WBS524307 VRV524304:VRW524307 VHZ524304:VIA524307 UYD524304:UYE524307 UOH524304:UOI524307 UEL524304:UEM524307 TUP524304:TUQ524307 TKT524304:TKU524307 TAX524304:TAY524307 SRB524304:SRC524307 SHF524304:SHG524307 RXJ524304:RXK524307 RNN524304:RNO524307 RDR524304:RDS524307 QTV524304:QTW524307 QJZ524304:QKA524307 QAD524304:QAE524307 PQH524304:PQI524307 PGL524304:PGM524307 OWP524304:OWQ524307 OMT524304:OMU524307 OCX524304:OCY524307 NTB524304:NTC524307 NJF524304:NJG524307 MZJ524304:MZK524307 MPN524304:MPO524307 MFR524304:MFS524307 LVV524304:LVW524307 LLZ524304:LMA524307 LCD524304:LCE524307 KSH524304:KSI524307 KIL524304:KIM524307 JYP524304:JYQ524307 JOT524304:JOU524307 JEX524304:JEY524307 IVB524304:IVC524307 ILF524304:ILG524307 IBJ524304:IBK524307 HRN524304:HRO524307 HHR524304:HHS524307 GXV524304:GXW524307 GNZ524304:GOA524307 GED524304:GEE524307 FUH524304:FUI524307 FKL524304:FKM524307 FAP524304:FAQ524307 EQT524304:EQU524307 EGX524304:EGY524307 DXB524304:DXC524307 DNF524304:DNG524307 DDJ524304:DDK524307 CTN524304:CTO524307 CJR524304:CJS524307 BZV524304:BZW524307 BPZ524304:BQA524307 BGD524304:BGE524307 AWH524304:AWI524307 AML524304:AMM524307 ACP524304:ACQ524307 ST524304:SU524307 IX524304:IY524307 B524304:C524307 WVJ458768:WVK458771 WLN458768:WLO458771 WBR458768:WBS458771 VRV458768:VRW458771 VHZ458768:VIA458771 UYD458768:UYE458771 UOH458768:UOI458771 UEL458768:UEM458771 TUP458768:TUQ458771 TKT458768:TKU458771 TAX458768:TAY458771 SRB458768:SRC458771 SHF458768:SHG458771 RXJ458768:RXK458771 RNN458768:RNO458771 RDR458768:RDS458771 QTV458768:QTW458771 QJZ458768:QKA458771 QAD458768:QAE458771 PQH458768:PQI458771 PGL458768:PGM458771 OWP458768:OWQ458771 OMT458768:OMU458771 OCX458768:OCY458771 NTB458768:NTC458771 NJF458768:NJG458771 MZJ458768:MZK458771 MPN458768:MPO458771 MFR458768:MFS458771 LVV458768:LVW458771 LLZ458768:LMA458771 LCD458768:LCE458771 KSH458768:KSI458771 KIL458768:KIM458771 JYP458768:JYQ458771 JOT458768:JOU458771 JEX458768:JEY458771 IVB458768:IVC458771 ILF458768:ILG458771 IBJ458768:IBK458771 HRN458768:HRO458771 HHR458768:HHS458771 GXV458768:GXW458771 GNZ458768:GOA458771 GED458768:GEE458771 FUH458768:FUI458771 FKL458768:FKM458771 FAP458768:FAQ458771 EQT458768:EQU458771 EGX458768:EGY458771 DXB458768:DXC458771 DNF458768:DNG458771 DDJ458768:DDK458771 CTN458768:CTO458771 CJR458768:CJS458771 BZV458768:BZW458771 BPZ458768:BQA458771 BGD458768:BGE458771 AWH458768:AWI458771 AML458768:AMM458771 ACP458768:ACQ458771 ST458768:SU458771 IX458768:IY458771 B458768:C458771 WVJ393232:WVK393235 WLN393232:WLO393235 WBR393232:WBS393235 VRV393232:VRW393235 VHZ393232:VIA393235 UYD393232:UYE393235 UOH393232:UOI393235 UEL393232:UEM393235 TUP393232:TUQ393235 TKT393232:TKU393235 TAX393232:TAY393235 SRB393232:SRC393235 SHF393232:SHG393235 RXJ393232:RXK393235 RNN393232:RNO393235 RDR393232:RDS393235 QTV393232:QTW393235 QJZ393232:QKA393235 QAD393232:QAE393235 PQH393232:PQI393235 PGL393232:PGM393235 OWP393232:OWQ393235 OMT393232:OMU393235 OCX393232:OCY393235 NTB393232:NTC393235 NJF393232:NJG393235 MZJ393232:MZK393235 MPN393232:MPO393235 MFR393232:MFS393235 LVV393232:LVW393235 LLZ393232:LMA393235 LCD393232:LCE393235 KSH393232:KSI393235 KIL393232:KIM393235 JYP393232:JYQ393235 JOT393232:JOU393235 JEX393232:JEY393235 IVB393232:IVC393235 ILF393232:ILG393235 IBJ393232:IBK393235 HRN393232:HRO393235 HHR393232:HHS393235 GXV393232:GXW393235 GNZ393232:GOA393235 GED393232:GEE393235 FUH393232:FUI393235 FKL393232:FKM393235 FAP393232:FAQ393235 EQT393232:EQU393235 EGX393232:EGY393235 DXB393232:DXC393235 DNF393232:DNG393235 DDJ393232:DDK393235 CTN393232:CTO393235 CJR393232:CJS393235 BZV393232:BZW393235 BPZ393232:BQA393235 BGD393232:BGE393235 AWH393232:AWI393235 AML393232:AMM393235 ACP393232:ACQ393235 ST393232:SU393235 IX393232:IY393235 B393232:C393235 WVJ327696:WVK327699 WLN327696:WLO327699 WBR327696:WBS327699 VRV327696:VRW327699 VHZ327696:VIA327699 UYD327696:UYE327699 UOH327696:UOI327699 UEL327696:UEM327699 TUP327696:TUQ327699 TKT327696:TKU327699 TAX327696:TAY327699 SRB327696:SRC327699 SHF327696:SHG327699 RXJ327696:RXK327699 RNN327696:RNO327699 RDR327696:RDS327699 QTV327696:QTW327699 QJZ327696:QKA327699 QAD327696:QAE327699 PQH327696:PQI327699 PGL327696:PGM327699 OWP327696:OWQ327699 OMT327696:OMU327699 OCX327696:OCY327699 NTB327696:NTC327699 NJF327696:NJG327699 MZJ327696:MZK327699 MPN327696:MPO327699 MFR327696:MFS327699 LVV327696:LVW327699 LLZ327696:LMA327699 LCD327696:LCE327699 KSH327696:KSI327699 KIL327696:KIM327699 JYP327696:JYQ327699 JOT327696:JOU327699 JEX327696:JEY327699 IVB327696:IVC327699 ILF327696:ILG327699 IBJ327696:IBK327699 HRN327696:HRO327699 HHR327696:HHS327699 GXV327696:GXW327699 GNZ327696:GOA327699 GED327696:GEE327699 FUH327696:FUI327699 FKL327696:FKM327699 FAP327696:FAQ327699 EQT327696:EQU327699 EGX327696:EGY327699 DXB327696:DXC327699 DNF327696:DNG327699 DDJ327696:DDK327699 CTN327696:CTO327699 CJR327696:CJS327699 BZV327696:BZW327699 BPZ327696:BQA327699 BGD327696:BGE327699 AWH327696:AWI327699 AML327696:AMM327699 ACP327696:ACQ327699 ST327696:SU327699 IX327696:IY327699 B327696:C327699 WVJ262160:WVK262163 WLN262160:WLO262163 WBR262160:WBS262163 VRV262160:VRW262163 VHZ262160:VIA262163 UYD262160:UYE262163 UOH262160:UOI262163 UEL262160:UEM262163 TUP262160:TUQ262163 TKT262160:TKU262163 TAX262160:TAY262163 SRB262160:SRC262163 SHF262160:SHG262163 RXJ262160:RXK262163 RNN262160:RNO262163 RDR262160:RDS262163 QTV262160:QTW262163 QJZ262160:QKA262163 QAD262160:QAE262163 PQH262160:PQI262163 PGL262160:PGM262163 OWP262160:OWQ262163 OMT262160:OMU262163 OCX262160:OCY262163 NTB262160:NTC262163 NJF262160:NJG262163 MZJ262160:MZK262163 MPN262160:MPO262163 MFR262160:MFS262163 LVV262160:LVW262163 LLZ262160:LMA262163 LCD262160:LCE262163 KSH262160:KSI262163 KIL262160:KIM262163 JYP262160:JYQ262163 JOT262160:JOU262163 JEX262160:JEY262163 IVB262160:IVC262163 ILF262160:ILG262163 IBJ262160:IBK262163 HRN262160:HRO262163 HHR262160:HHS262163 GXV262160:GXW262163 GNZ262160:GOA262163 GED262160:GEE262163 FUH262160:FUI262163 FKL262160:FKM262163 FAP262160:FAQ262163 EQT262160:EQU262163 EGX262160:EGY262163 DXB262160:DXC262163 DNF262160:DNG262163 DDJ262160:DDK262163 CTN262160:CTO262163 CJR262160:CJS262163 BZV262160:BZW262163 BPZ262160:BQA262163 BGD262160:BGE262163 AWH262160:AWI262163 AML262160:AMM262163 ACP262160:ACQ262163 ST262160:SU262163 IX262160:IY262163 B262160:C262163 WVJ196624:WVK196627 WLN196624:WLO196627 WBR196624:WBS196627 VRV196624:VRW196627 VHZ196624:VIA196627 UYD196624:UYE196627 UOH196624:UOI196627 UEL196624:UEM196627 TUP196624:TUQ196627 TKT196624:TKU196627 TAX196624:TAY196627 SRB196624:SRC196627 SHF196624:SHG196627 RXJ196624:RXK196627 RNN196624:RNO196627 RDR196624:RDS196627 QTV196624:QTW196627 QJZ196624:QKA196627 QAD196624:QAE196627 PQH196624:PQI196627 PGL196624:PGM196627 OWP196624:OWQ196627 OMT196624:OMU196627 OCX196624:OCY196627 NTB196624:NTC196627 NJF196624:NJG196627 MZJ196624:MZK196627 MPN196624:MPO196627 MFR196624:MFS196627 LVV196624:LVW196627 LLZ196624:LMA196627 LCD196624:LCE196627 KSH196624:KSI196627 KIL196624:KIM196627 JYP196624:JYQ196627 JOT196624:JOU196627 JEX196624:JEY196627 IVB196624:IVC196627 ILF196624:ILG196627 IBJ196624:IBK196627 HRN196624:HRO196627 HHR196624:HHS196627 GXV196624:GXW196627 GNZ196624:GOA196627 GED196624:GEE196627 FUH196624:FUI196627 FKL196624:FKM196627 FAP196624:FAQ196627 EQT196624:EQU196627 EGX196624:EGY196627 DXB196624:DXC196627 DNF196624:DNG196627 DDJ196624:DDK196627 CTN196624:CTO196627 CJR196624:CJS196627 BZV196624:BZW196627 BPZ196624:BQA196627 BGD196624:BGE196627 AWH196624:AWI196627 AML196624:AMM196627 ACP196624:ACQ196627 ST196624:SU196627 IX196624:IY196627 B196624:C196627 WVJ131088:WVK131091 WLN131088:WLO131091 WBR131088:WBS131091 VRV131088:VRW131091 VHZ131088:VIA131091 UYD131088:UYE131091 UOH131088:UOI131091 UEL131088:UEM131091 TUP131088:TUQ131091 TKT131088:TKU131091 TAX131088:TAY131091 SRB131088:SRC131091 SHF131088:SHG131091 RXJ131088:RXK131091 RNN131088:RNO131091 RDR131088:RDS131091 QTV131088:QTW131091 QJZ131088:QKA131091 QAD131088:QAE131091 PQH131088:PQI131091 PGL131088:PGM131091 OWP131088:OWQ131091 OMT131088:OMU131091 OCX131088:OCY131091 NTB131088:NTC131091 NJF131088:NJG131091 MZJ131088:MZK131091 MPN131088:MPO131091 MFR131088:MFS131091 LVV131088:LVW131091 LLZ131088:LMA131091 LCD131088:LCE131091 KSH131088:KSI131091 KIL131088:KIM131091 JYP131088:JYQ131091 JOT131088:JOU131091 JEX131088:JEY131091 IVB131088:IVC131091 ILF131088:ILG131091 IBJ131088:IBK131091 HRN131088:HRO131091 HHR131088:HHS131091 GXV131088:GXW131091 GNZ131088:GOA131091 GED131088:GEE131091 FUH131088:FUI131091 FKL131088:FKM131091 FAP131088:FAQ131091 EQT131088:EQU131091 EGX131088:EGY131091 DXB131088:DXC131091 DNF131088:DNG131091 DDJ131088:DDK131091 CTN131088:CTO131091 CJR131088:CJS131091 BZV131088:BZW131091 BPZ131088:BQA131091 BGD131088:BGE131091 AWH131088:AWI131091 AML131088:AMM131091 ACP131088:ACQ131091 ST131088:SU131091 IX131088:IY131091 B131088:C131091 WVJ65552:WVK65555 WLN65552:WLO65555 WBR65552:WBS65555 VRV65552:VRW65555 VHZ65552:VIA65555 UYD65552:UYE65555 UOH65552:UOI65555 UEL65552:UEM65555 TUP65552:TUQ65555 TKT65552:TKU65555 TAX65552:TAY65555 SRB65552:SRC65555 SHF65552:SHG65555 RXJ65552:RXK65555 RNN65552:RNO65555 RDR65552:RDS65555 QTV65552:QTW65555 QJZ65552:QKA65555 QAD65552:QAE65555 PQH65552:PQI65555 PGL65552:PGM65555 OWP65552:OWQ65555 OMT65552:OMU65555 OCX65552:OCY65555 NTB65552:NTC65555 NJF65552:NJG65555 MZJ65552:MZK65555 MPN65552:MPO65555 MFR65552:MFS65555 LVV65552:LVW65555 LLZ65552:LMA65555 LCD65552:LCE65555 KSH65552:KSI65555 KIL65552:KIM65555 JYP65552:JYQ65555 JOT65552:JOU65555 JEX65552:JEY65555 IVB65552:IVC65555 ILF65552:ILG65555 IBJ65552:IBK65555 HRN65552:HRO65555 HHR65552:HHS65555 GXV65552:GXW65555 GNZ65552:GOA65555 GED65552:GEE65555 FUH65552:FUI65555 FKL65552:FKM65555 FAP65552:FAQ65555 EQT65552:EQU65555 EGX65552:EGY65555 DXB65552:DXC65555 DNF65552:DNG65555 DDJ65552:DDK65555 CTN65552:CTO65555 CJR65552:CJS65555 BZV65552:BZW65555 BPZ65552:BQA65555 BGD65552:BGE65555 AWH65552:AWI65555 AML65552:AMM65555 ACP65552:ACQ65555 ST65552:SU65555 IX65552:IY65555">
      <formula1>#REF!</formula1>
    </dataValidation>
    <dataValidation type="list" allowBlank="1" showInputMessage="1" showErrorMessage="1" errorTitle="Error message" error="Type not valid!" sqref="WLN983040:WLO983042 IX10:IY12 ST10:SU12 ACP10:ACQ12 AML10:AMM12 AWH10:AWI12 BGD10:BGE12 BPZ10:BQA12 BZV10:BZW12 CJR10:CJS12 CTN10:CTO12 DDJ10:DDK12 DNF10:DNG12 DXB10:DXC12 EGX10:EGY12 EQT10:EQU12 FAP10:FAQ12 FKL10:FKM12 FUH10:FUI12 GED10:GEE12 GNZ10:GOA12 GXV10:GXW12 HHR10:HHS12 HRN10:HRO12 IBJ10:IBK12 ILF10:ILG12 IVB10:IVC12 JEX10:JEY12 JOT10:JOU12 JYP10:JYQ12 KIL10:KIM12 KSH10:KSI12 LCD10:LCE12 LLZ10:LMA12 LVV10:LVW12 MFR10:MFS12 MPN10:MPO12 MZJ10:MZK12 NJF10:NJG12 NTB10:NTC12 OCX10:OCY12 OMT10:OMU12 OWP10:OWQ12 PGL10:PGM12 PQH10:PQI12 QAD10:QAE12 QJZ10:QKA12 QTV10:QTW12 RDR10:RDS12 RNN10:RNO12 RXJ10:RXK12 SHF10:SHG12 SRB10:SRC12 TAX10:TAY12 TKT10:TKU12 TUP10:TUQ12 UEL10:UEM12 UOH10:UOI12 UYD10:UYE12 VHZ10:VIA12 VRV10:VRW12 WBR10:WBS12 WLN10:WLO12 WVJ10:WVK12 B65542:C65544 IX65542:IY65544 ST65542:SU65544 ACP65542:ACQ65544 AML65542:AMM65544 AWH65542:AWI65544 BGD65542:BGE65544 BPZ65542:BQA65544 BZV65542:BZW65544 CJR65542:CJS65544 CTN65542:CTO65544 DDJ65542:DDK65544 DNF65542:DNG65544 DXB65542:DXC65544 EGX65542:EGY65544 EQT65542:EQU65544 FAP65542:FAQ65544 FKL65542:FKM65544 FUH65542:FUI65544 GED65542:GEE65544 GNZ65542:GOA65544 GXV65542:GXW65544 HHR65542:HHS65544 HRN65542:HRO65544 IBJ65542:IBK65544 ILF65542:ILG65544 IVB65542:IVC65544 JEX65542:JEY65544 JOT65542:JOU65544 JYP65542:JYQ65544 KIL65542:KIM65544 KSH65542:KSI65544 LCD65542:LCE65544 LLZ65542:LMA65544 LVV65542:LVW65544 MFR65542:MFS65544 MPN65542:MPO65544 MZJ65542:MZK65544 NJF65542:NJG65544 NTB65542:NTC65544 OCX65542:OCY65544 OMT65542:OMU65544 OWP65542:OWQ65544 PGL65542:PGM65544 PQH65542:PQI65544 QAD65542:QAE65544 QJZ65542:QKA65544 QTV65542:QTW65544 RDR65542:RDS65544 RNN65542:RNO65544 RXJ65542:RXK65544 SHF65542:SHG65544 SRB65542:SRC65544 TAX65542:TAY65544 TKT65542:TKU65544 TUP65542:TUQ65544 UEL65542:UEM65544 UOH65542:UOI65544 UYD65542:UYE65544 VHZ65542:VIA65544 VRV65542:VRW65544 WBR65542:WBS65544 WLN65542:WLO65544 WVJ65542:WVK65544 B131078:C131080 IX131078:IY131080 ST131078:SU131080 ACP131078:ACQ131080 AML131078:AMM131080 AWH131078:AWI131080 BGD131078:BGE131080 BPZ131078:BQA131080 BZV131078:BZW131080 CJR131078:CJS131080 CTN131078:CTO131080 DDJ131078:DDK131080 DNF131078:DNG131080 DXB131078:DXC131080 EGX131078:EGY131080 EQT131078:EQU131080 FAP131078:FAQ131080 FKL131078:FKM131080 FUH131078:FUI131080 GED131078:GEE131080 GNZ131078:GOA131080 GXV131078:GXW131080 HHR131078:HHS131080 HRN131078:HRO131080 IBJ131078:IBK131080 ILF131078:ILG131080 IVB131078:IVC131080 JEX131078:JEY131080 JOT131078:JOU131080 JYP131078:JYQ131080 KIL131078:KIM131080 KSH131078:KSI131080 LCD131078:LCE131080 LLZ131078:LMA131080 LVV131078:LVW131080 MFR131078:MFS131080 MPN131078:MPO131080 MZJ131078:MZK131080 NJF131078:NJG131080 NTB131078:NTC131080 OCX131078:OCY131080 OMT131078:OMU131080 OWP131078:OWQ131080 PGL131078:PGM131080 PQH131078:PQI131080 QAD131078:QAE131080 QJZ131078:QKA131080 QTV131078:QTW131080 RDR131078:RDS131080 RNN131078:RNO131080 RXJ131078:RXK131080 SHF131078:SHG131080 SRB131078:SRC131080 TAX131078:TAY131080 TKT131078:TKU131080 TUP131078:TUQ131080 UEL131078:UEM131080 UOH131078:UOI131080 UYD131078:UYE131080 VHZ131078:VIA131080 VRV131078:VRW131080 WBR131078:WBS131080 WLN131078:WLO131080 WVJ131078:WVK131080 B196614:C196616 IX196614:IY196616 ST196614:SU196616 ACP196614:ACQ196616 AML196614:AMM196616 AWH196614:AWI196616 BGD196614:BGE196616 BPZ196614:BQA196616 BZV196614:BZW196616 CJR196614:CJS196616 CTN196614:CTO196616 DDJ196614:DDK196616 DNF196614:DNG196616 DXB196614:DXC196616 EGX196614:EGY196616 EQT196614:EQU196616 FAP196614:FAQ196616 FKL196614:FKM196616 FUH196614:FUI196616 GED196614:GEE196616 GNZ196614:GOA196616 GXV196614:GXW196616 HHR196614:HHS196616 HRN196614:HRO196616 IBJ196614:IBK196616 ILF196614:ILG196616 IVB196614:IVC196616 JEX196614:JEY196616 JOT196614:JOU196616 JYP196614:JYQ196616 KIL196614:KIM196616 KSH196614:KSI196616 LCD196614:LCE196616 LLZ196614:LMA196616 LVV196614:LVW196616 MFR196614:MFS196616 MPN196614:MPO196616 MZJ196614:MZK196616 NJF196614:NJG196616 NTB196614:NTC196616 OCX196614:OCY196616 OMT196614:OMU196616 OWP196614:OWQ196616 PGL196614:PGM196616 PQH196614:PQI196616 QAD196614:QAE196616 QJZ196614:QKA196616 QTV196614:QTW196616 RDR196614:RDS196616 RNN196614:RNO196616 RXJ196614:RXK196616 SHF196614:SHG196616 SRB196614:SRC196616 TAX196614:TAY196616 TKT196614:TKU196616 TUP196614:TUQ196616 UEL196614:UEM196616 UOH196614:UOI196616 UYD196614:UYE196616 VHZ196614:VIA196616 VRV196614:VRW196616 WBR196614:WBS196616 WLN196614:WLO196616 WVJ196614:WVK196616 B262150:C262152 IX262150:IY262152 ST262150:SU262152 ACP262150:ACQ262152 AML262150:AMM262152 AWH262150:AWI262152 BGD262150:BGE262152 BPZ262150:BQA262152 BZV262150:BZW262152 CJR262150:CJS262152 CTN262150:CTO262152 DDJ262150:DDK262152 DNF262150:DNG262152 DXB262150:DXC262152 EGX262150:EGY262152 EQT262150:EQU262152 FAP262150:FAQ262152 FKL262150:FKM262152 FUH262150:FUI262152 GED262150:GEE262152 GNZ262150:GOA262152 GXV262150:GXW262152 HHR262150:HHS262152 HRN262150:HRO262152 IBJ262150:IBK262152 ILF262150:ILG262152 IVB262150:IVC262152 JEX262150:JEY262152 JOT262150:JOU262152 JYP262150:JYQ262152 KIL262150:KIM262152 KSH262150:KSI262152 LCD262150:LCE262152 LLZ262150:LMA262152 LVV262150:LVW262152 MFR262150:MFS262152 MPN262150:MPO262152 MZJ262150:MZK262152 NJF262150:NJG262152 NTB262150:NTC262152 OCX262150:OCY262152 OMT262150:OMU262152 OWP262150:OWQ262152 PGL262150:PGM262152 PQH262150:PQI262152 QAD262150:QAE262152 QJZ262150:QKA262152 QTV262150:QTW262152 RDR262150:RDS262152 RNN262150:RNO262152 RXJ262150:RXK262152 SHF262150:SHG262152 SRB262150:SRC262152 TAX262150:TAY262152 TKT262150:TKU262152 TUP262150:TUQ262152 UEL262150:UEM262152 UOH262150:UOI262152 UYD262150:UYE262152 VHZ262150:VIA262152 VRV262150:VRW262152 WBR262150:WBS262152 WLN262150:WLO262152 WVJ262150:WVK262152 B327686:C327688 IX327686:IY327688 ST327686:SU327688 ACP327686:ACQ327688 AML327686:AMM327688 AWH327686:AWI327688 BGD327686:BGE327688 BPZ327686:BQA327688 BZV327686:BZW327688 CJR327686:CJS327688 CTN327686:CTO327688 DDJ327686:DDK327688 DNF327686:DNG327688 DXB327686:DXC327688 EGX327686:EGY327688 EQT327686:EQU327688 FAP327686:FAQ327688 FKL327686:FKM327688 FUH327686:FUI327688 GED327686:GEE327688 GNZ327686:GOA327688 GXV327686:GXW327688 HHR327686:HHS327688 HRN327686:HRO327688 IBJ327686:IBK327688 ILF327686:ILG327688 IVB327686:IVC327688 JEX327686:JEY327688 JOT327686:JOU327688 JYP327686:JYQ327688 KIL327686:KIM327688 KSH327686:KSI327688 LCD327686:LCE327688 LLZ327686:LMA327688 LVV327686:LVW327688 MFR327686:MFS327688 MPN327686:MPO327688 MZJ327686:MZK327688 NJF327686:NJG327688 NTB327686:NTC327688 OCX327686:OCY327688 OMT327686:OMU327688 OWP327686:OWQ327688 PGL327686:PGM327688 PQH327686:PQI327688 QAD327686:QAE327688 QJZ327686:QKA327688 QTV327686:QTW327688 RDR327686:RDS327688 RNN327686:RNO327688 RXJ327686:RXK327688 SHF327686:SHG327688 SRB327686:SRC327688 TAX327686:TAY327688 TKT327686:TKU327688 TUP327686:TUQ327688 UEL327686:UEM327688 UOH327686:UOI327688 UYD327686:UYE327688 VHZ327686:VIA327688 VRV327686:VRW327688 WBR327686:WBS327688 WLN327686:WLO327688 WVJ327686:WVK327688 B393222:C393224 IX393222:IY393224 ST393222:SU393224 ACP393222:ACQ393224 AML393222:AMM393224 AWH393222:AWI393224 BGD393222:BGE393224 BPZ393222:BQA393224 BZV393222:BZW393224 CJR393222:CJS393224 CTN393222:CTO393224 DDJ393222:DDK393224 DNF393222:DNG393224 DXB393222:DXC393224 EGX393222:EGY393224 EQT393222:EQU393224 FAP393222:FAQ393224 FKL393222:FKM393224 FUH393222:FUI393224 GED393222:GEE393224 GNZ393222:GOA393224 GXV393222:GXW393224 HHR393222:HHS393224 HRN393222:HRO393224 IBJ393222:IBK393224 ILF393222:ILG393224 IVB393222:IVC393224 JEX393222:JEY393224 JOT393222:JOU393224 JYP393222:JYQ393224 KIL393222:KIM393224 KSH393222:KSI393224 LCD393222:LCE393224 LLZ393222:LMA393224 LVV393222:LVW393224 MFR393222:MFS393224 MPN393222:MPO393224 MZJ393222:MZK393224 NJF393222:NJG393224 NTB393222:NTC393224 OCX393222:OCY393224 OMT393222:OMU393224 OWP393222:OWQ393224 PGL393222:PGM393224 PQH393222:PQI393224 QAD393222:QAE393224 QJZ393222:QKA393224 QTV393222:QTW393224 RDR393222:RDS393224 RNN393222:RNO393224 RXJ393222:RXK393224 SHF393222:SHG393224 SRB393222:SRC393224 TAX393222:TAY393224 TKT393222:TKU393224 TUP393222:TUQ393224 UEL393222:UEM393224 UOH393222:UOI393224 UYD393222:UYE393224 VHZ393222:VIA393224 VRV393222:VRW393224 WBR393222:WBS393224 WLN393222:WLO393224 WVJ393222:WVK393224 B458758:C458760 IX458758:IY458760 ST458758:SU458760 ACP458758:ACQ458760 AML458758:AMM458760 AWH458758:AWI458760 BGD458758:BGE458760 BPZ458758:BQA458760 BZV458758:BZW458760 CJR458758:CJS458760 CTN458758:CTO458760 DDJ458758:DDK458760 DNF458758:DNG458760 DXB458758:DXC458760 EGX458758:EGY458760 EQT458758:EQU458760 FAP458758:FAQ458760 FKL458758:FKM458760 FUH458758:FUI458760 GED458758:GEE458760 GNZ458758:GOA458760 GXV458758:GXW458760 HHR458758:HHS458760 HRN458758:HRO458760 IBJ458758:IBK458760 ILF458758:ILG458760 IVB458758:IVC458760 JEX458758:JEY458760 JOT458758:JOU458760 JYP458758:JYQ458760 KIL458758:KIM458760 KSH458758:KSI458760 LCD458758:LCE458760 LLZ458758:LMA458760 LVV458758:LVW458760 MFR458758:MFS458760 MPN458758:MPO458760 MZJ458758:MZK458760 NJF458758:NJG458760 NTB458758:NTC458760 OCX458758:OCY458760 OMT458758:OMU458760 OWP458758:OWQ458760 PGL458758:PGM458760 PQH458758:PQI458760 QAD458758:QAE458760 QJZ458758:QKA458760 QTV458758:QTW458760 RDR458758:RDS458760 RNN458758:RNO458760 RXJ458758:RXK458760 SHF458758:SHG458760 SRB458758:SRC458760 TAX458758:TAY458760 TKT458758:TKU458760 TUP458758:TUQ458760 UEL458758:UEM458760 UOH458758:UOI458760 UYD458758:UYE458760 VHZ458758:VIA458760 VRV458758:VRW458760 WBR458758:WBS458760 WLN458758:WLO458760 WVJ458758:WVK458760 B524294:C524296 IX524294:IY524296 ST524294:SU524296 ACP524294:ACQ524296 AML524294:AMM524296 AWH524294:AWI524296 BGD524294:BGE524296 BPZ524294:BQA524296 BZV524294:BZW524296 CJR524294:CJS524296 CTN524294:CTO524296 DDJ524294:DDK524296 DNF524294:DNG524296 DXB524294:DXC524296 EGX524294:EGY524296 EQT524294:EQU524296 FAP524294:FAQ524296 FKL524294:FKM524296 FUH524294:FUI524296 GED524294:GEE524296 GNZ524294:GOA524296 GXV524294:GXW524296 HHR524294:HHS524296 HRN524294:HRO524296 IBJ524294:IBK524296 ILF524294:ILG524296 IVB524294:IVC524296 JEX524294:JEY524296 JOT524294:JOU524296 JYP524294:JYQ524296 KIL524294:KIM524296 KSH524294:KSI524296 LCD524294:LCE524296 LLZ524294:LMA524296 LVV524294:LVW524296 MFR524294:MFS524296 MPN524294:MPO524296 MZJ524294:MZK524296 NJF524294:NJG524296 NTB524294:NTC524296 OCX524294:OCY524296 OMT524294:OMU524296 OWP524294:OWQ524296 PGL524294:PGM524296 PQH524294:PQI524296 QAD524294:QAE524296 QJZ524294:QKA524296 QTV524294:QTW524296 RDR524294:RDS524296 RNN524294:RNO524296 RXJ524294:RXK524296 SHF524294:SHG524296 SRB524294:SRC524296 TAX524294:TAY524296 TKT524294:TKU524296 TUP524294:TUQ524296 UEL524294:UEM524296 UOH524294:UOI524296 UYD524294:UYE524296 VHZ524294:VIA524296 VRV524294:VRW524296 WBR524294:WBS524296 WLN524294:WLO524296 WVJ524294:WVK524296 B589830:C589832 IX589830:IY589832 ST589830:SU589832 ACP589830:ACQ589832 AML589830:AMM589832 AWH589830:AWI589832 BGD589830:BGE589832 BPZ589830:BQA589832 BZV589830:BZW589832 CJR589830:CJS589832 CTN589830:CTO589832 DDJ589830:DDK589832 DNF589830:DNG589832 DXB589830:DXC589832 EGX589830:EGY589832 EQT589830:EQU589832 FAP589830:FAQ589832 FKL589830:FKM589832 FUH589830:FUI589832 GED589830:GEE589832 GNZ589830:GOA589832 GXV589830:GXW589832 HHR589830:HHS589832 HRN589830:HRO589832 IBJ589830:IBK589832 ILF589830:ILG589832 IVB589830:IVC589832 JEX589830:JEY589832 JOT589830:JOU589832 JYP589830:JYQ589832 KIL589830:KIM589832 KSH589830:KSI589832 LCD589830:LCE589832 LLZ589830:LMA589832 LVV589830:LVW589832 MFR589830:MFS589832 MPN589830:MPO589832 MZJ589830:MZK589832 NJF589830:NJG589832 NTB589830:NTC589832 OCX589830:OCY589832 OMT589830:OMU589832 OWP589830:OWQ589832 PGL589830:PGM589832 PQH589830:PQI589832 QAD589830:QAE589832 QJZ589830:QKA589832 QTV589830:QTW589832 RDR589830:RDS589832 RNN589830:RNO589832 RXJ589830:RXK589832 SHF589830:SHG589832 SRB589830:SRC589832 TAX589830:TAY589832 TKT589830:TKU589832 TUP589830:TUQ589832 UEL589830:UEM589832 UOH589830:UOI589832 UYD589830:UYE589832 VHZ589830:VIA589832 VRV589830:VRW589832 WBR589830:WBS589832 WLN589830:WLO589832 WVJ589830:WVK589832 B655366:C655368 IX655366:IY655368 ST655366:SU655368 ACP655366:ACQ655368 AML655366:AMM655368 AWH655366:AWI655368 BGD655366:BGE655368 BPZ655366:BQA655368 BZV655366:BZW655368 CJR655366:CJS655368 CTN655366:CTO655368 DDJ655366:DDK655368 DNF655366:DNG655368 DXB655366:DXC655368 EGX655366:EGY655368 EQT655366:EQU655368 FAP655366:FAQ655368 FKL655366:FKM655368 FUH655366:FUI655368 GED655366:GEE655368 GNZ655366:GOA655368 GXV655366:GXW655368 HHR655366:HHS655368 HRN655366:HRO655368 IBJ655366:IBK655368 ILF655366:ILG655368 IVB655366:IVC655368 JEX655366:JEY655368 JOT655366:JOU655368 JYP655366:JYQ655368 KIL655366:KIM655368 KSH655366:KSI655368 LCD655366:LCE655368 LLZ655366:LMA655368 LVV655366:LVW655368 MFR655366:MFS655368 MPN655366:MPO655368 MZJ655366:MZK655368 NJF655366:NJG655368 NTB655366:NTC655368 OCX655366:OCY655368 OMT655366:OMU655368 OWP655366:OWQ655368 PGL655366:PGM655368 PQH655366:PQI655368 QAD655366:QAE655368 QJZ655366:QKA655368 QTV655366:QTW655368 RDR655366:RDS655368 RNN655366:RNO655368 RXJ655366:RXK655368 SHF655366:SHG655368 SRB655366:SRC655368 TAX655366:TAY655368 TKT655366:TKU655368 TUP655366:TUQ655368 UEL655366:UEM655368 UOH655366:UOI655368 UYD655366:UYE655368 VHZ655366:VIA655368 VRV655366:VRW655368 WBR655366:WBS655368 WLN655366:WLO655368 WVJ655366:WVK655368 B720902:C720904 IX720902:IY720904 ST720902:SU720904 ACP720902:ACQ720904 AML720902:AMM720904 AWH720902:AWI720904 BGD720902:BGE720904 BPZ720902:BQA720904 BZV720902:BZW720904 CJR720902:CJS720904 CTN720902:CTO720904 DDJ720902:DDK720904 DNF720902:DNG720904 DXB720902:DXC720904 EGX720902:EGY720904 EQT720902:EQU720904 FAP720902:FAQ720904 FKL720902:FKM720904 FUH720902:FUI720904 GED720902:GEE720904 GNZ720902:GOA720904 GXV720902:GXW720904 HHR720902:HHS720904 HRN720902:HRO720904 IBJ720902:IBK720904 ILF720902:ILG720904 IVB720902:IVC720904 JEX720902:JEY720904 JOT720902:JOU720904 JYP720902:JYQ720904 KIL720902:KIM720904 KSH720902:KSI720904 LCD720902:LCE720904 LLZ720902:LMA720904 LVV720902:LVW720904 MFR720902:MFS720904 MPN720902:MPO720904 MZJ720902:MZK720904 NJF720902:NJG720904 NTB720902:NTC720904 OCX720902:OCY720904 OMT720902:OMU720904 OWP720902:OWQ720904 PGL720902:PGM720904 PQH720902:PQI720904 QAD720902:QAE720904 QJZ720902:QKA720904 QTV720902:QTW720904 RDR720902:RDS720904 RNN720902:RNO720904 RXJ720902:RXK720904 SHF720902:SHG720904 SRB720902:SRC720904 TAX720902:TAY720904 TKT720902:TKU720904 TUP720902:TUQ720904 UEL720902:UEM720904 UOH720902:UOI720904 UYD720902:UYE720904 VHZ720902:VIA720904 VRV720902:VRW720904 WBR720902:WBS720904 WLN720902:WLO720904 WVJ720902:WVK720904 B786438:C786440 IX786438:IY786440 ST786438:SU786440 ACP786438:ACQ786440 AML786438:AMM786440 AWH786438:AWI786440 BGD786438:BGE786440 BPZ786438:BQA786440 BZV786438:BZW786440 CJR786438:CJS786440 CTN786438:CTO786440 DDJ786438:DDK786440 DNF786438:DNG786440 DXB786438:DXC786440 EGX786438:EGY786440 EQT786438:EQU786440 FAP786438:FAQ786440 FKL786438:FKM786440 FUH786438:FUI786440 GED786438:GEE786440 GNZ786438:GOA786440 GXV786438:GXW786440 HHR786438:HHS786440 HRN786438:HRO786440 IBJ786438:IBK786440 ILF786438:ILG786440 IVB786438:IVC786440 JEX786438:JEY786440 JOT786438:JOU786440 JYP786438:JYQ786440 KIL786438:KIM786440 KSH786438:KSI786440 LCD786438:LCE786440 LLZ786438:LMA786440 LVV786438:LVW786440 MFR786438:MFS786440 MPN786438:MPO786440 MZJ786438:MZK786440 NJF786438:NJG786440 NTB786438:NTC786440 OCX786438:OCY786440 OMT786438:OMU786440 OWP786438:OWQ786440 PGL786438:PGM786440 PQH786438:PQI786440 QAD786438:QAE786440 QJZ786438:QKA786440 QTV786438:QTW786440 RDR786438:RDS786440 RNN786438:RNO786440 RXJ786438:RXK786440 SHF786438:SHG786440 SRB786438:SRC786440 TAX786438:TAY786440 TKT786438:TKU786440 TUP786438:TUQ786440 UEL786438:UEM786440 UOH786438:UOI786440 UYD786438:UYE786440 VHZ786438:VIA786440 VRV786438:VRW786440 WBR786438:WBS786440 WLN786438:WLO786440 WVJ786438:WVK786440 B851974:C851976 IX851974:IY851976 ST851974:SU851976 ACP851974:ACQ851976 AML851974:AMM851976 AWH851974:AWI851976 BGD851974:BGE851976 BPZ851974:BQA851976 BZV851974:BZW851976 CJR851974:CJS851976 CTN851974:CTO851976 DDJ851974:DDK851976 DNF851974:DNG851976 DXB851974:DXC851976 EGX851974:EGY851976 EQT851974:EQU851976 FAP851974:FAQ851976 FKL851974:FKM851976 FUH851974:FUI851976 GED851974:GEE851976 GNZ851974:GOA851976 GXV851974:GXW851976 HHR851974:HHS851976 HRN851974:HRO851976 IBJ851974:IBK851976 ILF851974:ILG851976 IVB851974:IVC851976 JEX851974:JEY851976 JOT851974:JOU851976 JYP851974:JYQ851976 KIL851974:KIM851976 KSH851974:KSI851976 LCD851974:LCE851976 LLZ851974:LMA851976 LVV851974:LVW851976 MFR851974:MFS851976 MPN851974:MPO851976 MZJ851974:MZK851976 NJF851974:NJG851976 NTB851974:NTC851976 OCX851974:OCY851976 OMT851974:OMU851976 OWP851974:OWQ851976 PGL851974:PGM851976 PQH851974:PQI851976 QAD851974:QAE851976 QJZ851974:QKA851976 QTV851974:QTW851976 RDR851974:RDS851976 RNN851974:RNO851976 RXJ851974:RXK851976 SHF851974:SHG851976 SRB851974:SRC851976 TAX851974:TAY851976 TKT851974:TKU851976 TUP851974:TUQ851976 UEL851974:UEM851976 UOH851974:UOI851976 UYD851974:UYE851976 VHZ851974:VIA851976 VRV851974:VRW851976 WBR851974:WBS851976 WLN851974:WLO851976 WVJ851974:WVK851976 B917510:C917512 IX917510:IY917512 ST917510:SU917512 ACP917510:ACQ917512 AML917510:AMM917512 AWH917510:AWI917512 BGD917510:BGE917512 BPZ917510:BQA917512 BZV917510:BZW917512 CJR917510:CJS917512 CTN917510:CTO917512 DDJ917510:DDK917512 DNF917510:DNG917512 DXB917510:DXC917512 EGX917510:EGY917512 EQT917510:EQU917512 FAP917510:FAQ917512 FKL917510:FKM917512 FUH917510:FUI917512 GED917510:GEE917512 GNZ917510:GOA917512 GXV917510:GXW917512 HHR917510:HHS917512 HRN917510:HRO917512 IBJ917510:IBK917512 ILF917510:ILG917512 IVB917510:IVC917512 JEX917510:JEY917512 JOT917510:JOU917512 JYP917510:JYQ917512 KIL917510:KIM917512 KSH917510:KSI917512 LCD917510:LCE917512 LLZ917510:LMA917512 LVV917510:LVW917512 MFR917510:MFS917512 MPN917510:MPO917512 MZJ917510:MZK917512 NJF917510:NJG917512 NTB917510:NTC917512 OCX917510:OCY917512 OMT917510:OMU917512 OWP917510:OWQ917512 PGL917510:PGM917512 PQH917510:PQI917512 QAD917510:QAE917512 QJZ917510:QKA917512 QTV917510:QTW917512 RDR917510:RDS917512 RNN917510:RNO917512 RXJ917510:RXK917512 SHF917510:SHG917512 SRB917510:SRC917512 TAX917510:TAY917512 TKT917510:TKU917512 TUP917510:TUQ917512 UEL917510:UEM917512 UOH917510:UOI917512 UYD917510:UYE917512 VHZ917510:VIA917512 VRV917510:VRW917512 WBR917510:WBS917512 WLN917510:WLO917512 WVJ917510:WVK917512 B983046:C983048 IX983046:IY983048 ST983046:SU983048 ACP983046:ACQ983048 AML983046:AMM983048 AWH983046:AWI983048 BGD983046:BGE983048 BPZ983046:BQA983048 BZV983046:BZW983048 CJR983046:CJS983048 CTN983046:CTO983048 DDJ983046:DDK983048 DNF983046:DNG983048 DXB983046:DXC983048 EGX983046:EGY983048 EQT983046:EQU983048 FAP983046:FAQ983048 FKL983046:FKM983048 FUH983046:FUI983048 GED983046:GEE983048 GNZ983046:GOA983048 GXV983046:GXW983048 HHR983046:HHS983048 HRN983046:HRO983048 IBJ983046:IBK983048 ILF983046:ILG983048 IVB983046:IVC983048 JEX983046:JEY983048 JOT983046:JOU983048 JYP983046:JYQ983048 KIL983046:KIM983048 KSH983046:KSI983048 LCD983046:LCE983048 LLZ983046:LMA983048 LVV983046:LVW983048 MFR983046:MFS983048 MPN983046:MPO983048 MZJ983046:MZK983048 NJF983046:NJG983048 NTB983046:NTC983048 OCX983046:OCY983048 OMT983046:OMU983048 OWP983046:OWQ983048 PGL983046:PGM983048 PQH983046:PQI983048 QAD983046:QAE983048 QJZ983046:QKA983048 QTV983046:QTW983048 RDR983046:RDS983048 RNN983046:RNO983048 RXJ983046:RXK983048 SHF983046:SHG983048 SRB983046:SRC983048 TAX983046:TAY983048 TKT983046:TKU983048 TUP983046:TUQ983048 UEL983046:UEM983048 UOH983046:UOI983048 UYD983046:UYE983048 VHZ983046:VIA983048 VRV983046:VRW983048 WBR983046:WBS983048 WLN983046:WLO983048 WVJ983046:WVK983048 WVJ983040:WVK983042 IX14:IY15 ST14:SU15 ACP14:ACQ15 AML14:AMM15 AWH14:AWI15 BGD14:BGE15 BPZ14:BQA15 BZV14:BZW15 CJR14:CJS15 CTN14:CTO15 DDJ14:DDK15 DNF14:DNG15 DXB14:DXC15 EGX14:EGY15 EQT14:EQU15 FAP14:FAQ15 FKL14:FKM15 FUH14:FUI15 GED14:GEE15 GNZ14:GOA15 GXV14:GXW15 HHR14:HHS15 HRN14:HRO15 IBJ14:IBK15 ILF14:ILG15 IVB14:IVC15 JEX14:JEY15 JOT14:JOU15 JYP14:JYQ15 KIL14:KIM15 KSH14:KSI15 LCD14:LCE15 LLZ14:LMA15 LVV14:LVW15 MFR14:MFS15 MPN14:MPO15 MZJ14:MZK15 NJF14:NJG15 NTB14:NTC15 OCX14:OCY15 OMT14:OMU15 OWP14:OWQ15 PGL14:PGM15 PQH14:PQI15 QAD14:QAE15 QJZ14:QKA15 QTV14:QTW15 RDR14:RDS15 RNN14:RNO15 RXJ14:RXK15 SHF14:SHG15 SRB14:SRC15 TAX14:TAY15 TKT14:TKU15 TUP14:TUQ15 UEL14:UEM15 UOH14:UOI15 UYD14:UYE15 VHZ14:VIA15 VRV14:VRW15 WBR14:WBS15 WLN14:WLO15 WVJ14:WVK15 B65546:C65547 IX65546:IY65547 ST65546:SU65547 ACP65546:ACQ65547 AML65546:AMM65547 AWH65546:AWI65547 BGD65546:BGE65547 BPZ65546:BQA65547 BZV65546:BZW65547 CJR65546:CJS65547 CTN65546:CTO65547 DDJ65546:DDK65547 DNF65546:DNG65547 DXB65546:DXC65547 EGX65546:EGY65547 EQT65546:EQU65547 FAP65546:FAQ65547 FKL65546:FKM65547 FUH65546:FUI65547 GED65546:GEE65547 GNZ65546:GOA65547 GXV65546:GXW65547 HHR65546:HHS65547 HRN65546:HRO65547 IBJ65546:IBK65547 ILF65546:ILG65547 IVB65546:IVC65547 JEX65546:JEY65547 JOT65546:JOU65547 JYP65546:JYQ65547 KIL65546:KIM65547 KSH65546:KSI65547 LCD65546:LCE65547 LLZ65546:LMA65547 LVV65546:LVW65547 MFR65546:MFS65547 MPN65546:MPO65547 MZJ65546:MZK65547 NJF65546:NJG65547 NTB65546:NTC65547 OCX65546:OCY65547 OMT65546:OMU65547 OWP65546:OWQ65547 PGL65546:PGM65547 PQH65546:PQI65547 QAD65546:QAE65547 QJZ65546:QKA65547 QTV65546:QTW65547 RDR65546:RDS65547 RNN65546:RNO65547 RXJ65546:RXK65547 SHF65546:SHG65547 SRB65546:SRC65547 TAX65546:TAY65547 TKT65546:TKU65547 TUP65546:TUQ65547 UEL65546:UEM65547 UOH65546:UOI65547 UYD65546:UYE65547 VHZ65546:VIA65547 VRV65546:VRW65547 WBR65546:WBS65547 WLN65546:WLO65547 WVJ65546:WVK65547 B131082:C131083 IX131082:IY131083 ST131082:SU131083 ACP131082:ACQ131083 AML131082:AMM131083 AWH131082:AWI131083 BGD131082:BGE131083 BPZ131082:BQA131083 BZV131082:BZW131083 CJR131082:CJS131083 CTN131082:CTO131083 DDJ131082:DDK131083 DNF131082:DNG131083 DXB131082:DXC131083 EGX131082:EGY131083 EQT131082:EQU131083 FAP131082:FAQ131083 FKL131082:FKM131083 FUH131082:FUI131083 GED131082:GEE131083 GNZ131082:GOA131083 GXV131082:GXW131083 HHR131082:HHS131083 HRN131082:HRO131083 IBJ131082:IBK131083 ILF131082:ILG131083 IVB131082:IVC131083 JEX131082:JEY131083 JOT131082:JOU131083 JYP131082:JYQ131083 KIL131082:KIM131083 KSH131082:KSI131083 LCD131082:LCE131083 LLZ131082:LMA131083 LVV131082:LVW131083 MFR131082:MFS131083 MPN131082:MPO131083 MZJ131082:MZK131083 NJF131082:NJG131083 NTB131082:NTC131083 OCX131082:OCY131083 OMT131082:OMU131083 OWP131082:OWQ131083 PGL131082:PGM131083 PQH131082:PQI131083 QAD131082:QAE131083 QJZ131082:QKA131083 QTV131082:QTW131083 RDR131082:RDS131083 RNN131082:RNO131083 RXJ131082:RXK131083 SHF131082:SHG131083 SRB131082:SRC131083 TAX131082:TAY131083 TKT131082:TKU131083 TUP131082:TUQ131083 UEL131082:UEM131083 UOH131082:UOI131083 UYD131082:UYE131083 VHZ131082:VIA131083 VRV131082:VRW131083 WBR131082:WBS131083 WLN131082:WLO131083 WVJ131082:WVK131083 B196618:C196619 IX196618:IY196619 ST196618:SU196619 ACP196618:ACQ196619 AML196618:AMM196619 AWH196618:AWI196619 BGD196618:BGE196619 BPZ196618:BQA196619 BZV196618:BZW196619 CJR196618:CJS196619 CTN196618:CTO196619 DDJ196618:DDK196619 DNF196618:DNG196619 DXB196618:DXC196619 EGX196618:EGY196619 EQT196618:EQU196619 FAP196618:FAQ196619 FKL196618:FKM196619 FUH196618:FUI196619 GED196618:GEE196619 GNZ196618:GOA196619 GXV196618:GXW196619 HHR196618:HHS196619 HRN196618:HRO196619 IBJ196618:IBK196619 ILF196618:ILG196619 IVB196618:IVC196619 JEX196618:JEY196619 JOT196618:JOU196619 JYP196618:JYQ196619 KIL196618:KIM196619 KSH196618:KSI196619 LCD196618:LCE196619 LLZ196618:LMA196619 LVV196618:LVW196619 MFR196618:MFS196619 MPN196618:MPO196619 MZJ196618:MZK196619 NJF196618:NJG196619 NTB196618:NTC196619 OCX196618:OCY196619 OMT196618:OMU196619 OWP196618:OWQ196619 PGL196618:PGM196619 PQH196618:PQI196619 QAD196618:QAE196619 QJZ196618:QKA196619 QTV196618:QTW196619 RDR196618:RDS196619 RNN196618:RNO196619 RXJ196618:RXK196619 SHF196618:SHG196619 SRB196618:SRC196619 TAX196618:TAY196619 TKT196618:TKU196619 TUP196618:TUQ196619 UEL196618:UEM196619 UOH196618:UOI196619 UYD196618:UYE196619 VHZ196618:VIA196619 VRV196618:VRW196619 WBR196618:WBS196619 WLN196618:WLO196619 WVJ196618:WVK196619 B262154:C262155 IX262154:IY262155 ST262154:SU262155 ACP262154:ACQ262155 AML262154:AMM262155 AWH262154:AWI262155 BGD262154:BGE262155 BPZ262154:BQA262155 BZV262154:BZW262155 CJR262154:CJS262155 CTN262154:CTO262155 DDJ262154:DDK262155 DNF262154:DNG262155 DXB262154:DXC262155 EGX262154:EGY262155 EQT262154:EQU262155 FAP262154:FAQ262155 FKL262154:FKM262155 FUH262154:FUI262155 GED262154:GEE262155 GNZ262154:GOA262155 GXV262154:GXW262155 HHR262154:HHS262155 HRN262154:HRO262155 IBJ262154:IBK262155 ILF262154:ILG262155 IVB262154:IVC262155 JEX262154:JEY262155 JOT262154:JOU262155 JYP262154:JYQ262155 KIL262154:KIM262155 KSH262154:KSI262155 LCD262154:LCE262155 LLZ262154:LMA262155 LVV262154:LVW262155 MFR262154:MFS262155 MPN262154:MPO262155 MZJ262154:MZK262155 NJF262154:NJG262155 NTB262154:NTC262155 OCX262154:OCY262155 OMT262154:OMU262155 OWP262154:OWQ262155 PGL262154:PGM262155 PQH262154:PQI262155 QAD262154:QAE262155 QJZ262154:QKA262155 QTV262154:QTW262155 RDR262154:RDS262155 RNN262154:RNO262155 RXJ262154:RXK262155 SHF262154:SHG262155 SRB262154:SRC262155 TAX262154:TAY262155 TKT262154:TKU262155 TUP262154:TUQ262155 UEL262154:UEM262155 UOH262154:UOI262155 UYD262154:UYE262155 VHZ262154:VIA262155 VRV262154:VRW262155 WBR262154:WBS262155 WLN262154:WLO262155 WVJ262154:WVK262155 B327690:C327691 IX327690:IY327691 ST327690:SU327691 ACP327690:ACQ327691 AML327690:AMM327691 AWH327690:AWI327691 BGD327690:BGE327691 BPZ327690:BQA327691 BZV327690:BZW327691 CJR327690:CJS327691 CTN327690:CTO327691 DDJ327690:DDK327691 DNF327690:DNG327691 DXB327690:DXC327691 EGX327690:EGY327691 EQT327690:EQU327691 FAP327690:FAQ327691 FKL327690:FKM327691 FUH327690:FUI327691 GED327690:GEE327691 GNZ327690:GOA327691 GXV327690:GXW327691 HHR327690:HHS327691 HRN327690:HRO327691 IBJ327690:IBK327691 ILF327690:ILG327691 IVB327690:IVC327691 JEX327690:JEY327691 JOT327690:JOU327691 JYP327690:JYQ327691 KIL327690:KIM327691 KSH327690:KSI327691 LCD327690:LCE327691 LLZ327690:LMA327691 LVV327690:LVW327691 MFR327690:MFS327691 MPN327690:MPO327691 MZJ327690:MZK327691 NJF327690:NJG327691 NTB327690:NTC327691 OCX327690:OCY327691 OMT327690:OMU327691 OWP327690:OWQ327691 PGL327690:PGM327691 PQH327690:PQI327691 QAD327690:QAE327691 QJZ327690:QKA327691 QTV327690:QTW327691 RDR327690:RDS327691 RNN327690:RNO327691 RXJ327690:RXK327691 SHF327690:SHG327691 SRB327690:SRC327691 TAX327690:TAY327691 TKT327690:TKU327691 TUP327690:TUQ327691 UEL327690:UEM327691 UOH327690:UOI327691 UYD327690:UYE327691 VHZ327690:VIA327691 VRV327690:VRW327691 WBR327690:WBS327691 WLN327690:WLO327691 WVJ327690:WVK327691 B393226:C393227 IX393226:IY393227 ST393226:SU393227 ACP393226:ACQ393227 AML393226:AMM393227 AWH393226:AWI393227 BGD393226:BGE393227 BPZ393226:BQA393227 BZV393226:BZW393227 CJR393226:CJS393227 CTN393226:CTO393227 DDJ393226:DDK393227 DNF393226:DNG393227 DXB393226:DXC393227 EGX393226:EGY393227 EQT393226:EQU393227 FAP393226:FAQ393227 FKL393226:FKM393227 FUH393226:FUI393227 GED393226:GEE393227 GNZ393226:GOA393227 GXV393226:GXW393227 HHR393226:HHS393227 HRN393226:HRO393227 IBJ393226:IBK393227 ILF393226:ILG393227 IVB393226:IVC393227 JEX393226:JEY393227 JOT393226:JOU393227 JYP393226:JYQ393227 KIL393226:KIM393227 KSH393226:KSI393227 LCD393226:LCE393227 LLZ393226:LMA393227 LVV393226:LVW393227 MFR393226:MFS393227 MPN393226:MPO393227 MZJ393226:MZK393227 NJF393226:NJG393227 NTB393226:NTC393227 OCX393226:OCY393227 OMT393226:OMU393227 OWP393226:OWQ393227 PGL393226:PGM393227 PQH393226:PQI393227 QAD393226:QAE393227 QJZ393226:QKA393227 QTV393226:QTW393227 RDR393226:RDS393227 RNN393226:RNO393227 RXJ393226:RXK393227 SHF393226:SHG393227 SRB393226:SRC393227 TAX393226:TAY393227 TKT393226:TKU393227 TUP393226:TUQ393227 UEL393226:UEM393227 UOH393226:UOI393227 UYD393226:UYE393227 VHZ393226:VIA393227 VRV393226:VRW393227 WBR393226:WBS393227 WLN393226:WLO393227 WVJ393226:WVK393227 B458762:C458763 IX458762:IY458763 ST458762:SU458763 ACP458762:ACQ458763 AML458762:AMM458763 AWH458762:AWI458763 BGD458762:BGE458763 BPZ458762:BQA458763 BZV458762:BZW458763 CJR458762:CJS458763 CTN458762:CTO458763 DDJ458762:DDK458763 DNF458762:DNG458763 DXB458762:DXC458763 EGX458762:EGY458763 EQT458762:EQU458763 FAP458762:FAQ458763 FKL458762:FKM458763 FUH458762:FUI458763 GED458762:GEE458763 GNZ458762:GOA458763 GXV458762:GXW458763 HHR458762:HHS458763 HRN458762:HRO458763 IBJ458762:IBK458763 ILF458762:ILG458763 IVB458762:IVC458763 JEX458762:JEY458763 JOT458762:JOU458763 JYP458762:JYQ458763 KIL458762:KIM458763 KSH458762:KSI458763 LCD458762:LCE458763 LLZ458762:LMA458763 LVV458762:LVW458763 MFR458762:MFS458763 MPN458762:MPO458763 MZJ458762:MZK458763 NJF458762:NJG458763 NTB458762:NTC458763 OCX458762:OCY458763 OMT458762:OMU458763 OWP458762:OWQ458763 PGL458762:PGM458763 PQH458762:PQI458763 QAD458762:QAE458763 QJZ458762:QKA458763 QTV458762:QTW458763 RDR458762:RDS458763 RNN458762:RNO458763 RXJ458762:RXK458763 SHF458762:SHG458763 SRB458762:SRC458763 TAX458762:TAY458763 TKT458762:TKU458763 TUP458762:TUQ458763 UEL458762:UEM458763 UOH458762:UOI458763 UYD458762:UYE458763 VHZ458762:VIA458763 VRV458762:VRW458763 WBR458762:WBS458763 WLN458762:WLO458763 WVJ458762:WVK458763 B524298:C524299 IX524298:IY524299 ST524298:SU524299 ACP524298:ACQ524299 AML524298:AMM524299 AWH524298:AWI524299 BGD524298:BGE524299 BPZ524298:BQA524299 BZV524298:BZW524299 CJR524298:CJS524299 CTN524298:CTO524299 DDJ524298:DDK524299 DNF524298:DNG524299 DXB524298:DXC524299 EGX524298:EGY524299 EQT524298:EQU524299 FAP524298:FAQ524299 FKL524298:FKM524299 FUH524298:FUI524299 GED524298:GEE524299 GNZ524298:GOA524299 GXV524298:GXW524299 HHR524298:HHS524299 HRN524298:HRO524299 IBJ524298:IBK524299 ILF524298:ILG524299 IVB524298:IVC524299 JEX524298:JEY524299 JOT524298:JOU524299 JYP524298:JYQ524299 KIL524298:KIM524299 KSH524298:KSI524299 LCD524298:LCE524299 LLZ524298:LMA524299 LVV524298:LVW524299 MFR524298:MFS524299 MPN524298:MPO524299 MZJ524298:MZK524299 NJF524298:NJG524299 NTB524298:NTC524299 OCX524298:OCY524299 OMT524298:OMU524299 OWP524298:OWQ524299 PGL524298:PGM524299 PQH524298:PQI524299 QAD524298:QAE524299 QJZ524298:QKA524299 QTV524298:QTW524299 RDR524298:RDS524299 RNN524298:RNO524299 RXJ524298:RXK524299 SHF524298:SHG524299 SRB524298:SRC524299 TAX524298:TAY524299 TKT524298:TKU524299 TUP524298:TUQ524299 UEL524298:UEM524299 UOH524298:UOI524299 UYD524298:UYE524299 VHZ524298:VIA524299 VRV524298:VRW524299 WBR524298:WBS524299 WLN524298:WLO524299 WVJ524298:WVK524299 B589834:C589835 IX589834:IY589835 ST589834:SU589835 ACP589834:ACQ589835 AML589834:AMM589835 AWH589834:AWI589835 BGD589834:BGE589835 BPZ589834:BQA589835 BZV589834:BZW589835 CJR589834:CJS589835 CTN589834:CTO589835 DDJ589834:DDK589835 DNF589834:DNG589835 DXB589834:DXC589835 EGX589834:EGY589835 EQT589834:EQU589835 FAP589834:FAQ589835 FKL589834:FKM589835 FUH589834:FUI589835 GED589834:GEE589835 GNZ589834:GOA589835 GXV589834:GXW589835 HHR589834:HHS589835 HRN589834:HRO589835 IBJ589834:IBK589835 ILF589834:ILG589835 IVB589834:IVC589835 JEX589834:JEY589835 JOT589834:JOU589835 JYP589834:JYQ589835 KIL589834:KIM589835 KSH589834:KSI589835 LCD589834:LCE589835 LLZ589834:LMA589835 LVV589834:LVW589835 MFR589834:MFS589835 MPN589834:MPO589835 MZJ589834:MZK589835 NJF589834:NJG589835 NTB589834:NTC589835 OCX589834:OCY589835 OMT589834:OMU589835 OWP589834:OWQ589835 PGL589834:PGM589835 PQH589834:PQI589835 QAD589834:QAE589835 QJZ589834:QKA589835 QTV589834:QTW589835 RDR589834:RDS589835 RNN589834:RNO589835 RXJ589834:RXK589835 SHF589834:SHG589835 SRB589834:SRC589835 TAX589834:TAY589835 TKT589834:TKU589835 TUP589834:TUQ589835 UEL589834:UEM589835 UOH589834:UOI589835 UYD589834:UYE589835 VHZ589834:VIA589835 VRV589834:VRW589835 WBR589834:WBS589835 WLN589834:WLO589835 WVJ589834:WVK589835 B655370:C655371 IX655370:IY655371 ST655370:SU655371 ACP655370:ACQ655371 AML655370:AMM655371 AWH655370:AWI655371 BGD655370:BGE655371 BPZ655370:BQA655371 BZV655370:BZW655371 CJR655370:CJS655371 CTN655370:CTO655371 DDJ655370:DDK655371 DNF655370:DNG655371 DXB655370:DXC655371 EGX655370:EGY655371 EQT655370:EQU655371 FAP655370:FAQ655371 FKL655370:FKM655371 FUH655370:FUI655371 GED655370:GEE655371 GNZ655370:GOA655371 GXV655370:GXW655371 HHR655370:HHS655371 HRN655370:HRO655371 IBJ655370:IBK655371 ILF655370:ILG655371 IVB655370:IVC655371 JEX655370:JEY655371 JOT655370:JOU655371 JYP655370:JYQ655371 KIL655370:KIM655371 KSH655370:KSI655371 LCD655370:LCE655371 LLZ655370:LMA655371 LVV655370:LVW655371 MFR655370:MFS655371 MPN655370:MPO655371 MZJ655370:MZK655371 NJF655370:NJG655371 NTB655370:NTC655371 OCX655370:OCY655371 OMT655370:OMU655371 OWP655370:OWQ655371 PGL655370:PGM655371 PQH655370:PQI655371 QAD655370:QAE655371 QJZ655370:QKA655371 QTV655370:QTW655371 RDR655370:RDS655371 RNN655370:RNO655371 RXJ655370:RXK655371 SHF655370:SHG655371 SRB655370:SRC655371 TAX655370:TAY655371 TKT655370:TKU655371 TUP655370:TUQ655371 UEL655370:UEM655371 UOH655370:UOI655371 UYD655370:UYE655371 VHZ655370:VIA655371 VRV655370:VRW655371 WBR655370:WBS655371 WLN655370:WLO655371 WVJ655370:WVK655371 B720906:C720907 IX720906:IY720907 ST720906:SU720907 ACP720906:ACQ720907 AML720906:AMM720907 AWH720906:AWI720907 BGD720906:BGE720907 BPZ720906:BQA720907 BZV720906:BZW720907 CJR720906:CJS720907 CTN720906:CTO720907 DDJ720906:DDK720907 DNF720906:DNG720907 DXB720906:DXC720907 EGX720906:EGY720907 EQT720906:EQU720907 FAP720906:FAQ720907 FKL720906:FKM720907 FUH720906:FUI720907 GED720906:GEE720907 GNZ720906:GOA720907 GXV720906:GXW720907 HHR720906:HHS720907 HRN720906:HRO720907 IBJ720906:IBK720907 ILF720906:ILG720907 IVB720906:IVC720907 JEX720906:JEY720907 JOT720906:JOU720907 JYP720906:JYQ720907 KIL720906:KIM720907 KSH720906:KSI720907 LCD720906:LCE720907 LLZ720906:LMA720907 LVV720906:LVW720907 MFR720906:MFS720907 MPN720906:MPO720907 MZJ720906:MZK720907 NJF720906:NJG720907 NTB720906:NTC720907 OCX720906:OCY720907 OMT720906:OMU720907 OWP720906:OWQ720907 PGL720906:PGM720907 PQH720906:PQI720907 QAD720906:QAE720907 QJZ720906:QKA720907 QTV720906:QTW720907 RDR720906:RDS720907 RNN720906:RNO720907 RXJ720906:RXK720907 SHF720906:SHG720907 SRB720906:SRC720907 TAX720906:TAY720907 TKT720906:TKU720907 TUP720906:TUQ720907 UEL720906:UEM720907 UOH720906:UOI720907 UYD720906:UYE720907 VHZ720906:VIA720907 VRV720906:VRW720907 WBR720906:WBS720907 WLN720906:WLO720907 WVJ720906:WVK720907 B786442:C786443 IX786442:IY786443 ST786442:SU786443 ACP786442:ACQ786443 AML786442:AMM786443 AWH786442:AWI786443 BGD786442:BGE786443 BPZ786442:BQA786443 BZV786442:BZW786443 CJR786442:CJS786443 CTN786442:CTO786443 DDJ786442:DDK786443 DNF786442:DNG786443 DXB786442:DXC786443 EGX786442:EGY786443 EQT786442:EQU786443 FAP786442:FAQ786443 FKL786442:FKM786443 FUH786442:FUI786443 GED786442:GEE786443 GNZ786442:GOA786443 GXV786442:GXW786443 HHR786442:HHS786443 HRN786442:HRO786443 IBJ786442:IBK786443 ILF786442:ILG786443 IVB786442:IVC786443 JEX786442:JEY786443 JOT786442:JOU786443 JYP786442:JYQ786443 KIL786442:KIM786443 KSH786442:KSI786443 LCD786442:LCE786443 LLZ786442:LMA786443 LVV786442:LVW786443 MFR786442:MFS786443 MPN786442:MPO786443 MZJ786442:MZK786443 NJF786442:NJG786443 NTB786442:NTC786443 OCX786442:OCY786443 OMT786442:OMU786443 OWP786442:OWQ786443 PGL786442:PGM786443 PQH786442:PQI786443 QAD786442:QAE786443 QJZ786442:QKA786443 QTV786442:QTW786443 RDR786442:RDS786443 RNN786442:RNO786443 RXJ786442:RXK786443 SHF786442:SHG786443 SRB786442:SRC786443 TAX786442:TAY786443 TKT786442:TKU786443 TUP786442:TUQ786443 UEL786442:UEM786443 UOH786442:UOI786443 UYD786442:UYE786443 VHZ786442:VIA786443 VRV786442:VRW786443 WBR786442:WBS786443 WLN786442:WLO786443 WVJ786442:WVK786443 B851978:C851979 IX851978:IY851979 ST851978:SU851979 ACP851978:ACQ851979 AML851978:AMM851979 AWH851978:AWI851979 BGD851978:BGE851979 BPZ851978:BQA851979 BZV851978:BZW851979 CJR851978:CJS851979 CTN851978:CTO851979 DDJ851978:DDK851979 DNF851978:DNG851979 DXB851978:DXC851979 EGX851978:EGY851979 EQT851978:EQU851979 FAP851978:FAQ851979 FKL851978:FKM851979 FUH851978:FUI851979 GED851978:GEE851979 GNZ851978:GOA851979 GXV851978:GXW851979 HHR851978:HHS851979 HRN851978:HRO851979 IBJ851978:IBK851979 ILF851978:ILG851979 IVB851978:IVC851979 JEX851978:JEY851979 JOT851978:JOU851979 JYP851978:JYQ851979 KIL851978:KIM851979 KSH851978:KSI851979 LCD851978:LCE851979 LLZ851978:LMA851979 LVV851978:LVW851979 MFR851978:MFS851979 MPN851978:MPO851979 MZJ851978:MZK851979 NJF851978:NJG851979 NTB851978:NTC851979 OCX851978:OCY851979 OMT851978:OMU851979 OWP851978:OWQ851979 PGL851978:PGM851979 PQH851978:PQI851979 QAD851978:QAE851979 QJZ851978:QKA851979 QTV851978:QTW851979 RDR851978:RDS851979 RNN851978:RNO851979 RXJ851978:RXK851979 SHF851978:SHG851979 SRB851978:SRC851979 TAX851978:TAY851979 TKT851978:TKU851979 TUP851978:TUQ851979 UEL851978:UEM851979 UOH851978:UOI851979 UYD851978:UYE851979 VHZ851978:VIA851979 VRV851978:VRW851979 WBR851978:WBS851979 WLN851978:WLO851979 WVJ851978:WVK851979 B917514:C917515 IX917514:IY917515 ST917514:SU917515 ACP917514:ACQ917515 AML917514:AMM917515 AWH917514:AWI917515 BGD917514:BGE917515 BPZ917514:BQA917515 BZV917514:BZW917515 CJR917514:CJS917515 CTN917514:CTO917515 DDJ917514:DDK917515 DNF917514:DNG917515 DXB917514:DXC917515 EGX917514:EGY917515 EQT917514:EQU917515 FAP917514:FAQ917515 FKL917514:FKM917515 FUH917514:FUI917515 GED917514:GEE917515 GNZ917514:GOA917515 GXV917514:GXW917515 HHR917514:HHS917515 HRN917514:HRO917515 IBJ917514:IBK917515 ILF917514:ILG917515 IVB917514:IVC917515 JEX917514:JEY917515 JOT917514:JOU917515 JYP917514:JYQ917515 KIL917514:KIM917515 KSH917514:KSI917515 LCD917514:LCE917515 LLZ917514:LMA917515 LVV917514:LVW917515 MFR917514:MFS917515 MPN917514:MPO917515 MZJ917514:MZK917515 NJF917514:NJG917515 NTB917514:NTC917515 OCX917514:OCY917515 OMT917514:OMU917515 OWP917514:OWQ917515 PGL917514:PGM917515 PQH917514:PQI917515 QAD917514:QAE917515 QJZ917514:QKA917515 QTV917514:QTW917515 RDR917514:RDS917515 RNN917514:RNO917515 RXJ917514:RXK917515 SHF917514:SHG917515 SRB917514:SRC917515 TAX917514:TAY917515 TKT917514:TKU917515 TUP917514:TUQ917515 UEL917514:UEM917515 UOH917514:UOI917515 UYD917514:UYE917515 VHZ917514:VIA917515 VRV917514:VRW917515 WBR917514:WBS917515 WLN917514:WLO917515 WVJ917514:WVK917515 B983050:C983051 IX983050:IY983051 ST983050:SU983051 ACP983050:ACQ983051 AML983050:AMM983051 AWH983050:AWI983051 BGD983050:BGE983051 BPZ983050:BQA983051 BZV983050:BZW983051 CJR983050:CJS983051 CTN983050:CTO983051 DDJ983050:DDK983051 DNF983050:DNG983051 DXB983050:DXC983051 EGX983050:EGY983051 EQT983050:EQU983051 FAP983050:FAQ983051 FKL983050:FKM983051 FUH983050:FUI983051 GED983050:GEE983051 GNZ983050:GOA983051 GXV983050:GXW983051 HHR983050:HHS983051 HRN983050:HRO983051 IBJ983050:IBK983051 ILF983050:ILG983051 IVB983050:IVC983051 JEX983050:JEY983051 JOT983050:JOU983051 JYP983050:JYQ983051 KIL983050:KIM983051 KSH983050:KSI983051 LCD983050:LCE983051 LLZ983050:LMA983051 LVV983050:LVW983051 MFR983050:MFS983051 MPN983050:MPO983051 MZJ983050:MZK983051 NJF983050:NJG983051 NTB983050:NTC983051 OCX983050:OCY983051 OMT983050:OMU983051 OWP983050:OWQ983051 PGL983050:PGM983051 PQH983050:PQI983051 QAD983050:QAE983051 QJZ983050:QKA983051 QTV983050:QTW983051 RDR983050:RDS983051 RNN983050:RNO983051 RXJ983050:RXK983051 SHF983050:SHG983051 SRB983050:SRC983051 TAX983050:TAY983051 TKT983050:TKU983051 TUP983050:TUQ983051 UEL983050:UEM983051 UOH983050:UOI983051 UYD983050:UYE983051 VHZ983050:VIA983051 VRV983050:VRW983051 WBR983050:WBS983051 WLN983050:WLO983051 WVJ983050:WVK983051 WBR983040:WBS983042 IX2:IY6 ST2:SU6 ACP2:ACQ6 AML2:AMM6 AWH2:AWI6 BGD2:BGE6 BPZ2:BQA6 BZV2:BZW6 CJR2:CJS6 CTN2:CTO6 DDJ2:DDK6 DNF2:DNG6 DXB2:DXC6 EGX2:EGY6 EQT2:EQU6 FAP2:FAQ6 FKL2:FKM6 FUH2:FUI6 GED2:GEE6 GNZ2:GOA6 GXV2:GXW6 HHR2:HHS6 HRN2:HRO6 IBJ2:IBK6 ILF2:ILG6 IVB2:IVC6 JEX2:JEY6 JOT2:JOU6 JYP2:JYQ6 KIL2:KIM6 KSH2:KSI6 LCD2:LCE6 LLZ2:LMA6 LVV2:LVW6 MFR2:MFS6 MPN2:MPO6 MZJ2:MZK6 NJF2:NJG6 NTB2:NTC6 OCX2:OCY6 OMT2:OMU6 OWP2:OWQ6 PGL2:PGM6 PQH2:PQI6 QAD2:QAE6 QJZ2:QKA6 QTV2:QTW6 RDR2:RDS6 RNN2:RNO6 RXJ2:RXK6 SHF2:SHG6 SRB2:SRC6 TAX2:TAY6 TKT2:TKU6 TUP2:TUQ6 UEL2:UEM6 UOH2:UOI6 UYD2:UYE6 VHZ2:VIA6 VRV2:VRW6 WBR2:WBS6 WLN2:WLO6 WVJ2:WVK6 B65536:C65538 IX65536:IY65538 ST65536:SU65538 ACP65536:ACQ65538 AML65536:AMM65538 AWH65536:AWI65538 BGD65536:BGE65538 BPZ65536:BQA65538 BZV65536:BZW65538 CJR65536:CJS65538 CTN65536:CTO65538 DDJ65536:DDK65538 DNF65536:DNG65538 DXB65536:DXC65538 EGX65536:EGY65538 EQT65536:EQU65538 FAP65536:FAQ65538 FKL65536:FKM65538 FUH65536:FUI65538 GED65536:GEE65538 GNZ65536:GOA65538 GXV65536:GXW65538 HHR65536:HHS65538 HRN65536:HRO65538 IBJ65536:IBK65538 ILF65536:ILG65538 IVB65536:IVC65538 JEX65536:JEY65538 JOT65536:JOU65538 JYP65536:JYQ65538 KIL65536:KIM65538 KSH65536:KSI65538 LCD65536:LCE65538 LLZ65536:LMA65538 LVV65536:LVW65538 MFR65536:MFS65538 MPN65536:MPO65538 MZJ65536:MZK65538 NJF65536:NJG65538 NTB65536:NTC65538 OCX65536:OCY65538 OMT65536:OMU65538 OWP65536:OWQ65538 PGL65536:PGM65538 PQH65536:PQI65538 QAD65536:QAE65538 QJZ65536:QKA65538 QTV65536:QTW65538 RDR65536:RDS65538 RNN65536:RNO65538 RXJ65536:RXK65538 SHF65536:SHG65538 SRB65536:SRC65538 TAX65536:TAY65538 TKT65536:TKU65538 TUP65536:TUQ65538 UEL65536:UEM65538 UOH65536:UOI65538 UYD65536:UYE65538 VHZ65536:VIA65538 VRV65536:VRW65538 WBR65536:WBS65538 WLN65536:WLO65538 WVJ65536:WVK65538 B131072:C131074 IX131072:IY131074 ST131072:SU131074 ACP131072:ACQ131074 AML131072:AMM131074 AWH131072:AWI131074 BGD131072:BGE131074 BPZ131072:BQA131074 BZV131072:BZW131074 CJR131072:CJS131074 CTN131072:CTO131074 DDJ131072:DDK131074 DNF131072:DNG131074 DXB131072:DXC131074 EGX131072:EGY131074 EQT131072:EQU131074 FAP131072:FAQ131074 FKL131072:FKM131074 FUH131072:FUI131074 GED131072:GEE131074 GNZ131072:GOA131074 GXV131072:GXW131074 HHR131072:HHS131074 HRN131072:HRO131074 IBJ131072:IBK131074 ILF131072:ILG131074 IVB131072:IVC131074 JEX131072:JEY131074 JOT131072:JOU131074 JYP131072:JYQ131074 KIL131072:KIM131074 KSH131072:KSI131074 LCD131072:LCE131074 LLZ131072:LMA131074 LVV131072:LVW131074 MFR131072:MFS131074 MPN131072:MPO131074 MZJ131072:MZK131074 NJF131072:NJG131074 NTB131072:NTC131074 OCX131072:OCY131074 OMT131072:OMU131074 OWP131072:OWQ131074 PGL131072:PGM131074 PQH131072:PQI131074 QAD131072:QAE131074 QJZ131072:QKA131074 QTV131072:QTW131074 RDR131072:RDS131074 RNN131072:RNO131074 RXJ131072:RXK131074 SHF131072:SHG131074 SRB131072:SRC131074 TAX131072:TAY131074 TKT131072:TKU131074 TUP131072:TUQ131074 UEL131072:UEM131074 UOH131072:UOI131074 UYD131072:UYE131074 VHZ131072:VIA131074 VRV131072:VRW131074 WBR131072:WBS131074 WLN131072:WLO131074 WVJ131072:WVK131074 B196608:C196610 IX196608:IY196610 ST196608:SU196610 ACP196608:ACQ196610 AML196608:AMM196610 AWH196608:AWI196610 BGD196608:BGE196610 BPZ196608:BQA196610 BZV196608:BZW196610 CJR196608:CJS196610 CTN196608:CTO196610 DDJ196608:DDK196610 DNF196608:DNG196610 DXB196608:DXC196610 EGX196608:EGY196610 EQT196608:EQU196610 FAP196608:FAQ196610 FKL196608:FKM196610 FUH196608:FUI196610 GED196608:GEE196610 GNZ196608:GOA196610 GXV196608:GXW196610 HHR196608:HHS196610 HRN196608:HRO196610 IBJ196608:IBK196610 ILF196608:ILG196610 IVB196608:IVC196610 JEX196608:JEY196610 JOT196608:JOU196610 JYP196608:JYQ196610 KIL196608:KIM196610 KSH196608:KSI196610 LCD196608:LCE196610 LLZ196608:LMA196610 LVV196608:LVW196610 MFR196608:MFS196610 MPN196608:MPO196610 MZJ196608:MZK196610 NJF196608:NJG196610 NTB196608:NTC196610 OCX196608:OCY196610 OMT196608:OMU196610 OWP196608:OWQ196610 PGL196608:PGM196610 PQH196608:PQI196610 QAD196608:QAE196610 QJZ196608:QKA196610 QTV196608:QTW196610 RDR196608:RDS196610 RNN196608:RNO196610 RXJ196608:RXK196610 SHF196608:SHG196610 SRB196608:SRC196610 TAX196608:TAY196610 TKT196608:TKU196610 TUP196608:TUQ196610 UEL196608:UEM196610 UOH196608:UOI196610 UYD196608:UYE196610 VHZ196608:VIA196610 VRV196608:VRW196610 WBR196608:WBS196610 WLN196608:WLO196610 WVJ196608:WVK196610 B262144:C262146 IX262144:IY262146 ST262144:SU262146 ACP262144:ACQ262146 AML262144:AMM262146 AWH262144:AWI262146 BGD262144:BGE262146 BPZ262144:BQA262146 BZV262144:BZW262146 CJR262144:CJS262146 CTN262144:CTO262146 DDJ262144:DDK262146 DNF262144:DNG262146 DXB262144:DXC262146 EGX262144:EGY262146 EQT262144:EQU262146 FAP262144:FAQ262146 FKL262144:FKM262146 FUH262144:FUI262146 GED262144:GEE262146 GNZ262144:GOA262146 GXV262144:GXW262146 HHR262144:HHS262146 HRN262144:HRO262146 IBJ262144:IBK262146 ILF262144:ILG262146 IVB262144:IVC262146 JEX262144:JEY262146 JOT262144:JOU262146 JYP262144:JYQ262146 KIL262144:KIM262146 KSH262144:KSI262146 LCD262144:LCE262146 LLZ262144:LMA262146 LVV262144:LVW262146 MFR262144:MFS262146 MPN262144:MPO262146 MZJ262144:MZK262146 NJF262144:NJG262146 NTB262144:NTC262146 OCX262144:OCY262146 OMT262144:OMU262146 OWP262144:OWQ262146 PGL262144:PGM262146 PQH262144:PQI262146 QAD262144:QAE262146 QJZ262144:QKA262146 QTV262144:QTW262146 RDR262144:RDS262146 RNN262144:RNO262146 RXJ262144:RXK262146 SHF262144:SHG262146 SRB262144:SRC262146 TAX262144:TAY262146 TKT262144:TKU262146 TUP262144:TUQ262146 UEL262144:UEM262146 UOH262144:UOI262146 UYD262144:UYE262146 VHZ262144:VIA262146 VRV262144:VRW262146 WBR262144:WBS262146 WLN262144:WLO262146 WVJ262144:WVK262146 B327680:C327682 IX327680:IY327682 ST327680:SU327682 ACP327680:ACQ327682 AML327680:AMM327682 AWH327680:AWI327682 BGD327680:BGE327682 BPZ327680:BQA327682 BZV327680:BZW327682 CJR327680:CJS327682 CTN327680:CTO327682 DDJ327680:DDK327682 DNF327680:DNG327682 DXB327680:DXC327682 EGX327680:EGY327682 EQT327680:EQU327682 FAP327680:FAQ327682 FKL327680:FKM327682 FUH327680:FUI327682 GED327680:GEE327682 GNZ327680:GOA327682 GXV327680:GXW327682 HHR327680:HHS327682 HRN327680:HRO327682 IBJ327680:IBK327682 ILF327680:ILG327682 IVB327680:IVC327682 JEX327680:JEY327682 JOT327680:JOU327682 JYP327680:JYQ327682 KIL327680:KIM327682 KSH327680:KSI327682 LCD327680:LCE327682 LLZ327680:LMA327682 LVV327680:LVW327682 MFR327680:MFS327682 MPN327680:MPO327682 MZJ327680:MZK327682 NJF327680:NJG327682 NTB327680:NTC327682 OCX327680:OCY327682 OMT327680:OMU327682 OWP327680:OWQ327682 PGL327680:PGM327682 PQH327680:PQI327682 QAD327680:QAE327682 QJZ327680:QKA327682 QTV327680:QTW327682 RDR327680:RDS327682 RNN327680:RNO327682 RXJ327680:RXK327682 SHF327680:SHG327682 SRB327680:SRC327682 TAX327680:TAY327682 TKT327680:TKU327682 TUP327680:TUQ327682 UEL327680:UEM327682 UOH327680:UOI327682 UYD327680:UYE327682 VHZ327680:VIA327682 VRV327680:VRW327682 WBR327680:WBS327682 WLN327680:WLO327682 WVJ327680:WVK327682 B393216:C393218 IX393216:IY393218 ST393216:SU393218 ACP393216:ACQ393218 AML393216:AMM393218 AWH393216:AWI393218 BGD393216:BGE393218 BPZ393216:BQA393218 BZV393216:BZW393218 CJR393216:CJS393218 CTN393216:CTO393218 DDJ393216:DDK393218 DNF393216:DNG393218 DXB393216:DXC393218 EGX393216:EGY393218 EQT393216:EQU393218 FAP393216:FAQ393218 FKL393216:FKM393218 FUH393216:FUI393218 GED393216:GEE393218 GNZ393216:GOA393218 GXV393216:GXW393218 HHR393216:HHS393218 HRN393216:HRO393218 IBJ393216:IBK393218 ILF393216:ILG393218 IVB393216:IVC393218 JEX393216:JEY393218 JOT393216:JOU393218 JYP393216:JYQ393218 KIL393216:KIM393218 KSH393216:KSI393218 LCD393216:LCE393218 LLZ393216:LMA393218 LVV393216:LVW393218 MFR393216:MFS393218 MPN393216:MPO393218 MZJ393216:MZK393218 NJF393216:NJG393218 NTB393216:NTC393218 OCX393216:OCY393218 OMT393216:OMU393218 OWP393216:OWQ393218 PGL393216:PGM393218 PQH393216:PQI393218 QAD393216:QAE393218 QJZ393216:QKA393218 QTV393216:QTW393218 RDR393216:RDS393218 RNN393216:RNO393218 RXJ393216:RXK393218 SHF393216:SHG393218 SRB393216:SRC393218 TAX393216:TAY393218 TKT393216:TKU393218 TUP393216:TUQ393218 UEL393216:UEM393218 UOH393216:UOI393218 UYD393216:UYE393218 VHZ393216:VIA393218 VRV393216:VRW393218 WBR393216:WBS393218 WLN393216:WLO393218 WVJ393216:WVK393218 B458752:C458754 IX458752:IY458754 ST458752:SU458754 ACP458752:ACQ458754 AML458752:AMM458754 AWH458752:AWI458754 BGD458752:BGE458754 BPZ458752:BQA458754 BZV458752:BZW458754 CJR458752:CJS458754 CTN458752:CTO458754 DDJ458752:DDK458754 DNF458752:DNG458754 DXB458752:DXC458754 EGX458752:EGY458754 EQT458752:EQU458754 FAP458752:FAQ458754 FKL458752:FKM458754 FUH458752:FUI458754 GED458752:GEE458754 GNZ458752:GOA458754 GXV458752:GXW458754 HHR458752:HHS458754 HRN458752:HRO458754 IBJ458752:IBK458754 ILF458752:ILG458754 IVB458752:IVC458754 JEX458752:JEY458754 JOT458752:JOU458754 JYP458752:JYQ458754 KIL458752:KIM458754 KSH458752:KSI458754 LCD458752:LCE458754 LLZ458752:LMA458754 LVV458752:LVW458754 MFR458752:MFS458754 MPN458752:MPO458754 MZJ458752:MZK458754 NJF458752:NJG458754 NTB458752:NTC458754 OCX458752:OCY458754 OMT458752:OMU458754 OWP458752:OWQ458754 PGL458752:PGM458754 PQH458752:PQI458754 QAD458752:QAE458754 QJZ458752:QKA458754 QTV458752:QTW458754 RDR458752:RDS458754 RNN458752:RNO458754 RXJ458752:RXK458754 SHF458752:SHG458754 SRB458752:SRC458754 TAX458752:TAY458754 TKT458752:TKU458754 TUP458752:TUQ458754 UEL458752:UEM458754 UOH458752:UOI458754 UYD458752:UYE458754 VHZ458752:VIA458754 VRV458752:VRW458754 WBR458752:WBS458754 WLN458752:WLO458754 WVJ458752:WVK458754 B524288:C524290 IX524288:IY524290 ST524288:SU524290 ACP524288:ACQ524290 AML524288:AMM524290 AWH524288:AWI524290 BGD524288:BGE524290 BPZ524288:BQA524290 BZV524288:BZW524290 CJR524288:CJS524290 CTN524288:CTO524290 DDJ524288:DDK524290 DNF524288:DNG524290 DXB524288:DXC524290 EGX524288:EGY524290 EQT524288:EQU524290 FAP524288:FAQ524290 FKL524288:FKM524290 FUH524288:FUI524290 GED524288:GEE524290 GNZ524288:GOA524290 GXV524288:GXW524290 HHR524288:HHS524290 HRN524288:HRO524290 IBJ524288:IBK524290 ILF524288:ILG524290 IVB524288:IVC524290 JEX524288:JEY524290 JOT524288:JOU524290 JYP524288:JYQ524290 KIL524288:KIM524290 KSH524288:KSI524290 LCD524288:LCE524290 LLZ524288:LMA524290 LVV524288:LVW524290 MFR524288:MFS524290 MPN524288:MPO524290 MZJ524288:MZK524290 NJF524288:NJG524290 NTB524288:NTC524290 OCX524288:OCY524290 OMT524288:OMU524290 OWP524288:OWQ524290 PGL524288:PGM524290 PQH524288:PQI524290 QAD524288:QAE524290 QJZ524288:QKA524290 QTV524288:QTW524290 RDR524288:RDS524290 RNN524288:RNO524290 RXJ524288:RXK524290 SHF524288:SHG524290 SRB524288:SRC524290 TAX524288:TAY524290 TKT524288:TKU524290 TUP524288:TUQ524290 UEL524288:UEM524290 UOH524288:UOI524290 UYD524288:UYE524290 VHZ524288:VIA524290 VRV524288:VRW524290 WBR524288:WBS524290 WLN524288:WLO524290 WVJ524288:WVK524290 B589824:C589826 IX589824:IY589826 ST589824:SU589826 ACP589824:ACQ589826 AML589824:AMM589826 AWH589824:AWI589826 BGD589824:BGE589826 BPZ589824:BQA589826 BZV589824:BZW589826 CJR589824:CJS589826 CTN589824:CTO589826 DDJ589824:DDK589826 DNF589824:DNG589826 DXB589824:DXC589826 EGX589824:EGY589826 EQT589824:EQU589826 FAP589824:FAQ589826 FKL589824:FKM589826 FUH589824:FUI589826 GED589824:GEE589826 GNZ589824:GOA589826 GXV589824:GXW589826 HHR589824:HHS589826 HRN589824:HRO589826 IBJ589824:IBK589826 ILF589824:ILG589826 IVB589824:IVC589826 JEX589824:JEY589826 JOT589824:JOU589826 JYP589824:JYQ589826 KIL589824:KIM589826 KSH589824:KSI589826 LCD589824:LCE589826 LLZ589824:LMA589826 LVV589824:LVW589826 MFR589824:MFS589826 MPN589824:MPO589826 MZJ589824:MZK589826 NJF589824:NJG589826 NTB589824:NTC589826 OCX589824:OCY589826 OMT589824:OMU589826 OWP589824:OWQ589826 PGL589824:PGM589826 PQH589824:PQI589826 QAD589824:QAE589826 QJZ589824:QKA589826 QTV589824:QTW589826 RDR589824:RDS589826 RNN589824:RNO589826 RXJ589824:RXK589826 SHF589824:SHG589826 SRB589824:SRC589826 TAX589824:TAY589826 TKT589824:TKU589826 TUP589824:TUQ589826 UEL589824:UEM589826 UOH589824:UOI589826 UYD589824:UYE589826 VHZ589824:VIA589826 VRV589824:VRW589826 WBR589824:WBS589826 WLN589824:WLO589826 WVJ589824:WVK589826 B655360:C655362 IX655360:IY655362 ST655360:SU655362 ACP655360:ACQ655362 AML655360:AMM655362 AWH655360:AWI655362 BGD655360:BGE655362 BPZ655360:BQA655362 BZV655360:BZW655362 CJR655360:CJS655362 CTN655360:CTO655362 DDJ655360:DDK655362 DNF655360:DNG655362 DXB655360:DXC655362 EGX655360:EGY655362 EQT655360:EQU655362 FAP655360:FAQ655362 FKL655360:FKM655362 FUH655360:FUI655362 GED655360:GEE655362 GNZ655360:GOA655362 GXV655360:GXW655362 HHR655360:HHS655362 HRN655360:HRO655362 IBJ655360:IBK655362 ILF655360:ILG655362 IVB655360:IVC655362 JEX655360:JEY655362 JOT655360:JOU655362 JYP655360:JYQ655362 KIL655360:KIM655362 KSH655360:KSI655362 LCD655360:LCE655362 LLZ655360:LMA655362 LVV655360:LVW655362 MFR655360:MFS655362 MPN655360:MPO655362 MZJ655360:MZK655362 NJF655360:NJG655362 NTB655360:NTC655362 OCX655360:OCY655362 OMT655360:OMU655362 OWP655360:OWQ655362 PGL655360:PGM655362 PQH655360:PQI655362 QAD655360:QAE655362 QJZ655360:QKA655362 QTV655360:QTW655362 RDR655360:RDS655362 RNN655360:RNO655362 RXJ655360:RXK655362 SHF655360:SHG655362 SRB655360:SRC655362 TAX655360:TAY655362 TKT655360:TKU655362 TUP655360:TUQ655362 UEL655360:UEM655362 UOH655360:UOI655362 UYD655360:UYE655362 VHZ655360:VIA655362 VRV655360:VRW655362 WBR655360:WBS655362 WLN655360:WLO655362 WVJ655360:WVK655362 B720896:C720898 IX720896:IY720898 ST720896:SU720898 ACP720896:ACQ720898 AML720896:AMM720898 AWH720896:AWI720898 BGD720896:BGE720898 BPZ720896:BQA720898 BZV720896:BZW720898 CJR720896:CJS720898 CTN720896:CTO720898 DDJ720896:DDK720898 DNF720896:DNG720898 DXB720896:DXC720898 EGX720896:EGY720898 EQT720896:EQU720898 FAP720896:FAQ720898 FKL720896:FKM720898 FUH720896:FUI720898 GED720896:GEE720898 GNZ720896:GOA720898 GXV720896:GXW720898 HHR720896:HHS720898 HRN720896:HRO720898 IBJ720896:IBK720898 ILF720896:ILG720898 IVB720896:IVC720898 JEX720896:JEY720898 JOT720896:JOU720898 JYP720896:JYQ720898 KIL720896:KIM720898 KSH720896:KSI720898 LCD720896:LCE720898 LLZ720896:LMA720898 LVV720896:LVW720898 MFR720896:MFS720898 MPN720896:MPO720898 MZJ720896:MZK720898 NJF720896:NJG720898 NTB720896:NTC720898 OCX720896:OCY720898 OMT720896:OMU720898 OWP720896:OWQ720898 PGL720896:PGM720898 PQH720896:PQI720898 QAD720896:QAE720898 QJZ720896:QKA720898 QTV720896:QTW720898 RDR720896:RDS720898 RNN720896:RNO720898 RXJ720896:RXK720898 SHF720896:SHG720898 SRB720896:SRC720898 TAX720896:TAY720898 TKT720896:TKU720898 TUP720896:TUQ720898 UEL720896:UEM720898 UOH720896:UOI720898 UYD720896:UYE720898 VHZ720896:VIA720898 VRV720896:VRW720898 WBR720896:WBS720898 WLN720896:WLO720898 WVJ720896:WVK720898 B786432:C786434 IX786432:IY786434 ST786432:SU786434 ACP786432:ACQ786434 AML786432:AMM786434 AWH786432:AWI786434 BGD786432:BGE786434 BPZ786432:BQA786434 BZV786432:BZW786434 CJR786432:CJS786434 CTN786432:CTO786434 DDJ786432:DDK786434 DNF786432:DNG786434 DXB786432:DXC786434 EGX786432:EGY786434 EQT786432:EQU786434 FAP786432:FAQ786434 FKL786432:FKM786434 FUH786432:FUI786434 GED786432:GEE786434 GNZ786432:GOA786434 GXV786432:GXW786434 HHR786432:HHS786434 HRN786432:HRO786434 IBJ786432:IBK786434 ILF786432:ILG786434 IVB786432:IVC786434 JEX786432:JEY786434 JOT786432:JOU786434 JYP786432:JYQ786434 KIL786432:KIM786434 KSH786432:KSI786434 LCD786432:LCE786434 LLZ786432:LMA786434 LVV786432:LVW786434 MFR786432:MFS786434 MPN786432:MPO786434 MZJ786432:MZK786434 NJF786432:NJG786434 NTB786432:NTC786434 OCX786432:OCY786434 OMT786432:OMU786434 OWP786432:OWQ786434 PGL786432:PGM786434 PQH786432:PQI786434 QAD786432:QAE786434 QJZ786432:QKA786434 QTV786432:QTW786434 RDR786432:RDS786434 RNN786432:RNO786434 RXJ786432:RXK786434 SHF786432:SHG786434 SRB786432:SRC786434 TAX786432:TAY786434 TKT786432:TKU786434 TUP786432:TUQ786434 UEL786432:UEM786434 UOH786432:UOI786434 UYD786432:UYE786434 VHZ786432:VIA786434 VRV786432:VRW786434 WBR786432:WBS786434 WLN786432:WLO786434 WVJ786432:WVK786434 B851968:C851970 IX851968:IY851970 ST851968:SU851970 ACP851968:ACQ851970 AML851968:AMM851970 AWH851968:AWI851970 BGD851968:BGE851970 BPZ851968:BQA851970 BZV851968:BZW851970 CJR851968:CJS851970 CTN851968:CTO851970 DDJ851968:DDK851970 DNF851968:DNG851970 DXB851968:DXC851970 EGX851968:EGY851970 EQT851968:EQU851970 FAP851968:FAQ851970 FKL851968:FKM851970 FUH851968:FUI851970 GED851968:GEE851970 GNZ851968:GOA851970 GXV851968:GXW851970 HHR851968:HHS851970 HRN851968:HRO851970 IBJ851968:IBK851970 ILF851968:ILG851970 IVB851968:IVC851970 JEX851968:JEY851970 JOT851968:JOU851970 JYP851968:JYQ851970 KIL851968:KIM851970 KSH851968:KSI851970 LCD851968:LCE851970 LLZ851968:LMA851970 LVV851968:LVW851970 MFR851968:MFS851970 MPN851968:MPO851970 MZJ851968:MZK851970 NJF851968:NJG851970 NTB851968:NTC851970 OCX851968:OCY851970 OMT851968:OMU851970 OWP851968:OWQ851970 PGL851968:PGM851970 PQH851968:PQI851970 QAD851968:QAE851970 QJZ851968:QKA851970 QTV851968:QTW851970 RDR851968:RDS851970 RNN851968:RNO851970 RXJ851968:RXK851970 SHF851968:SHG851970 SRB851968:SRC851970 TAX851968:TAY851970 TKT851968:TKU851970 TUP851968:TUQ851970 UEL851968:UEM851970 UOH851968:UOI851970 UYD851968:UYE851970 VHZ851968:VIA851970 VRV851968:VRW851970 WBR851968:WBS851970 WLN851968:WLO851970 WVJ851968:WVK851970 B917504:C917506 IX917504:IY917506 ST917504:SU917506 ACP917504:ACQ917506 AML917504:AMM917506 AWH917504:AWI917506 BGD917504:BGE917506 BPZ917504:BQA917506 BZV917504:BZW917506 CJR917504:CJS917506 CTN917504:CTO917506 DDJ917504:DDK917506 DNF917504:DNG917506 DXB917504:DXC917506 EGX917504:EGY917506 EQT917504:EQU917506 FAP917504:FAQ917506 FKL917504:FKM917506 FUH917504:FUI917506 GED917504:GEE917506 GNZ917504:GOA917506 GXV917504:GXW917506 HHR917504:HHS917506 HRN917504:HRO917506 IBJ917504:IBK917506 ILF917504:ILG917506 IVB917504:IVC917506 JEX917504:JEY917506 JOT917504:JOU917506 JYP917504:JYQ917506 KIL917504:KIM917506 KSH917504:KSI917506 LCD917504:LCE917506 LLZ917504:LMA917506 LVV917504:LVW917506 MFR917504:MFS917506 MPN917504:MPO917506 MZJ917504:MZK917506 NJF917504:NJG917506 NTB917504:NTC917506 OCX917504:OCY917506 OMT917504:OMU917506 OWP917504:OWQ917506 PGL917504:PGM917506 PQH917504:PQI917506 QAD917504:QAE917506 QJZ917504:QKA917506 QTV917504:QTW917506 RDR917504:RDS917506 RNN917504:RNO917506 RXJ917504:RXK917506 SHF917504:SHG917506 SRB917504:SRC917506 TAX917504:TAY917506 TKT917504:TKU917506 TUP917504:TUQ917506 UEL917504:UEM917506 UOH917504:UOI917506 UYD917504:UYE917506 VHZ917504:VIA917506 VRV917504:VRW917506 WBR917504:WBS917506 WLN917504:WLO917506 WVJ917504:WVK917506 B983040:C983042 IX983040:IY983042 ST983040:SU983042 ACP983040:ACQ983042 AML983040:AMM983042 AWH983040:AWI983042 BGD983040:BGE983042 BPZ983040:BQA983042 BZV983040:BZW983042 CJR983040:CJS983042 CTN983040:CTO983042 DDJ983040:DDK983042 DNF983040:DNG983042 DXB983040:DXC983042 EGX983040:EGY983042 EQT983040:EQU983042 FAP983040:FAQ983042 FKL983040:FKM983042 FUH983040:FUI983042 GED983040:GEE983042 GNZ983040:GOA983042 GXV983040:GXW983042 HHR983040:HHS983042 HRN983040:HRO983042 IBJ983040:IBK983042 ILF983040:ILG983042 IVB983040:IVC983042 JEX983040:JEY983042 JOT983040:JOU983042 JYP983040:JYQ983042 KIL983040:KIM983042 KSH983040:KSI983042 LCD983040:LCE983042 LLZ983040:LMA983042 LVV983040:LVW983042 MFR983040:MFS983042 MPN983040:MPO983042 MZJ983040:MZK983042 NJF983040:NJG983042 NTB983040:NTC983042 OCX983040:OCY983042 OMT983040:OMU983042 OWP983040:OWQ983042 PGL983040:PGM983042 PQH983040:PQI983042 QAD983040:QAE983042 QJZ983040:QKA983042 QTV983040:QTW983042 RDR983040:RDS983042 RNN983040:RNO983042 RXJ983040:RXK983042 SHF983040:SHG983042 SRB983040:SRC983042 TAX983040:TAY983042 TKT983040:TKU983042 TUP983040:TUQ983042 UEL983040:UEM983042 UOH983040:UOI983042 UYD983040:UYE983042 VHZ983040:VIA983042 VRV983040:VRW983042">
      <formula1>$L$2:$L$2</formula1>
    </dataValidation>
    <dataValidation type="list" allowBlank="1" showInputMessage="1" showErrorMessage="1" errorTitle="Error message" error="Type not valid!" sqref="B7:C7 IX7:IY7 ST7:SU7 ACP7:ACQ7 AML7:AMM7 AWH7:AWI7 BGD7:BGE7 BPZ7:BQA7 BZV7:BZW7 CJR7:CJS7 CTN7:CTO7 DDJ7:DDK7 DNF7:DNG7 DXB7:DXC7 EGX7:EGY7 EQT7:EQU7 FAP7:FAQ7 FKL7:FKM7 FUH7:FUI7 GED7:GEE7 GNZ7:GOA7 GXV7:GXW7 HHR7:HHS7 HRN7:HRO7 IBJ7:IBK7 ILF7:ILG7 IVB7:IVC7 JEX7:JEY7 JOT7:JOU7 JYP7:JYQ7 KIL7:KIM7 KSH7:KSI7 LCD7:LCE7 LLZ7:LMA7 LVV7:LVW7 MFR7:MFS7 MPN7:MPO7 MZJ7:MZK7 NJF7:NJG7 NTB7:NTC7 OCX7:OCY7 OMT7:OMU7 OWP7:OWQ7 PGL7:PGM7 PQH7:PQI7 QAD7:QAE7 QJZ7:QKA7 QTV7:QTW7 RDR7:RDS7 RNN7:RNO7 RXJ7:RXK7 SHF7:SHG7 SRB7:SRC7 TAX7:TAY7 TKT7:TKU7 TUP7:TUQ7 UEL7:UEM7 UOH7:UOI7 UYD7:UYE7 VHZ7:VIA7 VRV7:VRW7 WBR7:WBS7 WLN7:WLO7 WVJ7:WVK7 B65539:C65539 IX65539:IY65539 ST65539:SU65539 ACP65539:ACQ65539 AML65539:AMM65539 AWH65539:AWI65539 BGD65539:BGE65539 BPZ65539:BQA65539 BZV65539:BZW65539 CJR65539:CJS65539 CTN65539:CTO65539 DDJ65539:DDK65539 DNF65539:DNG65539 DXB65539:DXC65539 EGX65539:EGY65539 EQT65539:EQU65539 FAP65539:FAQ65539 FKL65539:FKM65539 FUH65539:FUI65539 GED65539:GEE65539 GNZ65539:GOA65539 GXV65539:GXW65539 HHR65539:HHS65539 HRN65539:HRO65539 IBJ65539:IBK65539 ILF65539:ILG65539 IVB65539:IVC65539 JEX65539:JEY65539 JOT65539:JOU65539 JYP65539:JYQ65539 KIL65539:KIM65539 KSH65539:KSI65539 LCD65539:LCE65539 LLZ65539:LMA65539 LVV65539:LVW65539 MFR65539:MFS65539 MPN65539:MPO65539 MZJ65539:MZK65539 NJF65539:NJG65539 NTB65539:NTC65539 OCX65539:OCY65539 OMT65539:OMU65539 OWP65539:OWQ65539 PGL65539:PGM65539 PQH65539:PQI65539 QAD65539:QAE65539 QJZ65539:QKA65539 QTV65539:QTW65539 RDR65539:RDS65539 RNN65539:RNO65539 RXJ65539:RXK65539 SHF65539:SHG65539 SRB65539:SRC65539 TAX65539:TAY65539 TKT65539:TKU65539 TUP65539:TUQ65539 UEL65539:UEM65539 UOH65539:UOI65539 UYD65539:UYE65539 VHZ65539:VIA65539 VRV65539:VRW65539 WBR65539:WBS65539 WLN65539:WLO65539 WVJ65539:WVK65539 B131075:C131075 IX131075:IY131075 ST131075:SU131075 ACP131075:ACQ131075 AML131075:AMM131075 AWH131075:AWI131075 BGD131075:BGE131075 BPZ131075:BQA131075 BZV131075:BZW131075 CJR131075:CJS131075 CTN131075:CTO131075 DDJ131075:DDK131075 DNF131075:DNG131075 DXB131075:DXC131075 EGX131075:EGY131075 EQT131075:EQU131075 FAP131075:FAQ131075 FKL131075:FKM131075 FUH131075:FUI131075 GED131075:GEE131075 GNZ131075:GOA131075 GXV131075:GXW131075 HHR131075:HHS131075 HRN131075:HRO131075 IBJ131075:IBK131075 ILF131075:ILG131075 IVB131075:IVC131075 JEX131075:JEY131075 JOT131075:JOU131075 JYP131075:JYQ131075 KIL131075:KIM131075 KSH131075:KSI131075 LCD131075:LCE131075 LLZ131075:LMA131075 LVV131075:LVW131075 MFR131075:MFS131075 MPN131075:MPO131075 MZJ131075:MZK131075 NJF131075:NJG131075 NTB131075:NTC131075 OCX131075:OCY131075 OMT131075:OMU131075 OWP131075:OWQ131075 PGL131075:PGM131075 PQH131075:PQI131075 QAD131075:QAE131075 QJZ131075:QKA131075 QTV131075:QTW131075 RDR131075:RDS131075 RNN131075:RNO131075 RXJ131075:RXK131075 SHF131075:SHG131075 SRB131075:SRC131075 TAX131075:TAY131075 TKT131075:TKU131075 TUP131075:TUQ131075 UEL131075:UEM131075 UOH131075:UOI131075 UYD131075:UYE131075 VHZ131075:VIA131075 VRV131075:VRW131075 WBR131075:WBS131075 WLN131075:WLO131075 WVJ131075:WVK131075 B196611:C196611 IX196611:IY196611 ST196611:SU196611 ACP196611:ACQ196611 AML196611:AMM196611 AWH196611:AWI196611 BGD196611:BGE196611 BPZ196611:BQA196611 BZV196611:BZW196611 CJR196611:CJS196611 CTN196611:CTO196611 DDJ196611:DDK196611 DNF196611:DNG196611 DXB196611:DXC196611 EGX196611:EGY196611 EQT196611:EQU196611 FAP196611:FAQ196611 FKL196611:FKM196611 FUH196611:FUI196611 GED196611:GEE196611 GNZ196611:GOA196611 GXV196611:GXW196611 HHR196611:HHS196611 HRN196611:HRO196611 IBJ196611:IBK196611 ILF196611:ILG196611 IVB196611:IVC196611 JEX196611:JEY196611 JOT196611:JOU196611 JYP196611:JYQ196611 KIL196611:KIM196611 KSH196611:KSI196611 LCD196611:LCE196611 LLZ196611:LMA196611 LVV196611:LVW196611 MFR196611:MFS196611 MPN196611:MPO196611 MZJ196611:MZK196611 NJF196611:NJG196611 NTB196611:NTC196611 OCX196611:OCY196611 OMT196611:OMU196611 OWP196611:OWQ196611 PGL196611:PGM196611 PQH196611:PQI196611 QAD196611:QAE196611 QJZ196611:QKA196611 QTV196611:QTW196611 RDR196611:RDS196611 RNN196611:RNO196611 RXJ196611:RXK196611 SHF196611:SHG196611 SRB196611:SRC196611 TAX196611:TAY196611 TKT196611:TKU196611 TUP196611:TUQ196611 UEL196611:UEM196611 UOH196611:UOI196611 UYD196611:UYE196611 VHZ196611:VIA196611 VRV196611:VRW196611 WBR196611:WBS196611 WLN196611:WLO196611 WVJ196611:WVK196611 B262147:C262147 IX262147:IY262147 ST262147:SU262147 ACP262147:ACQ262147 AML262147:AMM262147 AWH262147:AWI262147 BGD262147:BGE262147 BPZ262147:BQA262147 BZV262147:BZW262147 CJR262147:CJS262147 CTN262147:CTO262147 DDJ262147:DDK262147 DNF262147:DNG262147 DXB262147:DXC262147 EGX262147:EGY262147 EQT262147:EQU262147 FAP262147:FAQ262147 FKL262147:FKM262147 FUH262147:FUI262147 GED262147:GEE262147 GNZ262147:GOA262147 GXV262147:GXW262147 HHR262147:HHS262147 HRN262147:HRO262147 IBJ262147:IBK262147 ILF262147:ILG262147 IVB262147:IVC262147 JEX262147:JEY262147 JOT262147:JOU262147 JYP262147:JYQ262147 KIL262147:KIM262147 KSH262147:KSI262147 LCD262147:LCE262147 LLZ262147:LMA262147 LVV262147:LVW262147 MFR262147:MFS262147 MPN262147:MPO262147 MZJ262147:MZK262147 NJF262147:NJG262147 NTB262147:NTC262147 OCX262147:OCY262147 OMT262147:OMU262147 OWP262147:OWQ262147 PGL262147:PGM262147 PQH262147:PQI262147 QAD262147:QAE262147 QJZ262147:QKA262147 QTV262147:QTW262147 RDR262147:RDS262147 RNN262147:RNO262147 RXJ262147:RXK262147 SHF262147:SHG262147 SRB262147:SRC262147 TAX262147:TAY262147 TKT262147:TKU262147 TUP262147:TUQ262147 UEL262147:UEM262147 UOH262147:UOI262147 UYD262147:UYE262147 VHZ262147:VIA262147 VRV262147:VRW262147 WBR262147:WBS262147 WLN262147:WLO262147 WVJ262147:WVK262147 B327683:C327683 IX327683:IY327683 ST327683:SU327683 ACP327683:ACQ327683 AML327683:AMM327683 AWH327683:AWI327683 BGD327683:BGE327683 BPZ327683:BQA327683 BZV327683:BZW327683 CJR327683:CJS327683 CTN327683:CTO327683 DDJ327683:DDK327683 DNF327683:DNG327683 DXB327683:DXC327683 EGX327683:EGY327683 EQT327683:EQU327683 FAP327683:FAQ327683 FKL327683:FKM327683 FUH327683:FUI327683 GED327683:GEE327683 GNZ327683:GOA327683 GXV327683:GXW327683 HHR327683:HHS327683 HRN327683:HRO327683 IBJ327683:IBK327683 ILF327683:ILG327683 IVB327683:IVC327683 JEX327683:JEY327683 JOT327683:JOU327683 JYP327683:JYQ327683 KIL327683:KIM327683 KSH327683:KSI327683 LCD327683:LCE327683 LLZ327683:LMA327683 LVV327683:LVW327683 MFR327683:MFS327683 MPN327683:MPO327683 MZJ327683:MZK327683 NJF327683:NJG327683 NTB327683:NTC327683 OCX327683:OCY327683 OMT327683:OMU327683 OWP327683:OWQ327683 PGL327683:PGM327683 PQH327683:PQI327683 QAD327683:QAE327683 QJZ327683:QKA327683 QTV327683:QTW327683 RDR327683:RDS327683 RNN327683:RNO327683 RXJ327683:RXK327683 SHF327683:SHG327683 SRB327683:SRC327683 TAX327683:TAY327683 TKT327683:TKU327683 TUP327683:TUQ327683 UEL327683:UEM327683 UOH327683:UOI327683 UYD327683:UYE327683 VHZ327683:VIA327683 VRV327683:VRW327683 WBR327683:WBS327683 WLN327683:WLO327683 WVJ327683:WVK327683 B393219:C393219 IX393219:IY393219 ST393219:SU393219 ACP393219:ACQ393219 AML393219:AMM393219 AWH393219:AWI393219 BGD393219:BGE393219 BPZ393219:BQA393219 BZV393219:BZW393219 CJR393219:CJS393219 CTN393219:CTO393219 DDJ393219:DDK393219 DNF393219:DNG393219 DXB393219:DXC393219 EGX393219:EGY393219 EQT393219:EQU393219 FAP393219:FAQ393219 FKL393219:FKM393219 FUH393219:FUI393219 GED393219:GEE393219 GNZ393219:GOA393219 GXV393219:GXW393219 HHR393219:HHS393219 HRN393219:HRO393219 IBJ393219:IBK393219 ILF393219:ILG393219 IVB393219:IVC393219 JEX393219:JEY393219 JOT393219:JOU393219 JYP393219:JYQ393219 KIL393219:KIM393219 KSH393219:KSI393219 LCD393219:LCE393219 LLZ393219:LMA393219 LVV393219:LVW393219 MFR393219:MFS393219 MPN393219:MPO393219 MZJ393219:MZK393219 NJF393219:NJG393219 NTB393219:NTC393219 OCX393219:OCY393219 OMT393219:OMU393219 OWP393219:OWQ393219 PGL393219:PGM393219 PQH393219:PQI393219 QAD393219:QAE393219 QJZ393219:QKA393219 QTV393219:QTW393219 RDR393219:RDS393219 RNN393219:RNO393219 RXJ393219:RXK393219 SHF393219:SHG393219 SRB393219:SRC393219 TAX393219:TAY393219 TKT393219:TKU393219 TUP393219:TUQ393219 UEL393219:UEM393219 UOH393219:UOI393219 UYD393219:UYE393219 VHZ393219:VIA393219 VRV393219:VRW393219 WBR393219:WBS393219 WLN393219:WLO393219 WVJ393219:WVK393219 B458755:C458755 IX458755:IY458755 ST458755:SU458755 ACP458755:ACQ458755 AML458755:AMM458755 AWH458755:AWI458755 BGD458755:BGE458755 BPZ458755:BQA458755 BZV458755:BZW458755 CJR458755:CJS458755 CTN458755:CTO458755 DDJ458755:DDK458755 DNF458755:DNG458755 DXB458755:DXC458755 EGX458755:EGY458755 EQT458755:EQU458755 FAP458755:FAQ458755 FKL458755:FKM458755 FUH458755:FUI458755 GED458755:GEE458755 GNZ458755:GOA458755 GXV458755:GXW458755 HHR458755:HHS458755 HRN458755:HRO458755 IBJ458755:IBK458755 ILF458755:ILG458755 IVB458755:IVC458755 JEX458755:JEY458755 JOT458755:JOU458755 JYP458755:JYQ458755 KIL458755:KIM458755 KSH458755:KSI458755 LCD458755:LCE458755 LLZ458755:LMA458755 LVV458755:LVW458755 MFR458755:MFS458755 MPN458755:MPO458755 MZJ458755:MZK458755 NJF458755:NJG458755 NTB458755:NTC458755 OCX458755:OCY458755 OMT458755:OMU458755 OWP458755:OWQ458755 PGL458755:PGM458755 PQH458755:PQI458755 QAD458755:QAE458755 QJZ458755:QKA458755 QTV458755:QTW458755 RDR458755:RDS458755 RNN458755:RNO458755 RXJ458755:RXK458755 SHF458755:SHG458755 SRB458755:SRC458755 TAX458755:TAY458755 TKT458755:TKU458755 TUP458755:TUQ458755 UEL458755:UEM458755 UOH458755:UOI458755 UYD458755:UYE458755 VHZ458755:VIA458755 VRV458755:VRW458755 WBR458755:WBS458755 WLN458755:WLO458755 WVJ458755:WVK458755 B524291:C524291 IX524291:IY524291 ST524291:SU524291 ACP524291:ACQ524291 AML524291:AMM524291 AWH524291:AWI524291 BGD524291:BGE524291 BPZ524291:BQA524291 BZV524291:BZW524291 CJR524291:CJS524291 CTN524291:CTO524291 DDJ524291:DDK524291 DNF524291:DNG524291 DXB524291:DXC524291 EGX524291:EGY524291 EQT524291:EQU524291 FAP524291:FAQ524291 FKL524291:FKM524291 FUH524291:FUI524291 GED524291:GEE524291 GNZ524291:GOA524291 GXV524291:GXW524291 HHR524291:HHS524291 HRN524291:HRO524291 IBJ524291:IBK524291 ILF524291:ILG524291 IVB524291:IVC524291 JEX524291:JEY524291 JOT524291:JOU524291 JYP524291:JYQ524291 KIL524291:KIM524291 KSH524291:KSI524291 LCD524291:LCE524291 LLZ524291:LMA524291 LVV524291:LVW524291 MFR524291:MFS524291 MPN524291:MPO524291 MZJ524291:MZK524291 NJF524291:NJG524291 NTB524291:NTC524291 OCX524291:OCY524291 OMT524291:OMU524291 OWP524291:OWQ524291 PGL524291:PGM524291 PQH524291:PQI524291 QAD524291:QAE524291 QJZ524291:QKA524291 QTV524291:QTW524291 RDR524291:RDS524291 RNN524291:RNO524291 RXJ524291:RXK524291 SHF524291:SHG524291 SRB524291:SRC524291 TAX524291:TAY524291 TKT524291:TKU524291 TUP524291:TUQ524291 UEL524291:UEM524291 UOH524291:UOI524291 UYD524291:UYE524291 VHZ524291:VIA524291 VRV524291:VRW524291 WBR524291:WBS524291 WLN524291:WLO524291 WVJ524291:WVK524291 B589827:C589827 IX589827:IY589827 ST589827:SU589827 ACP589827:ACQ589827 AML589827:AMM589827 AWH589827:AWI589827 BGD589827:BGE589827 BPZ589827:BQA589827 BZV589827:BZW589827 CJR589827:CJS589827 CTN589827:CTO589827 DDJ589827:DDK589827 DNF589827:DNG589827 DXB589827:DXC589827 EGX589827:EGY589827 EQT589827:EQU589827 FAP589827:FAQ589827 FKL589827:FKM589827 FUH589827:FUI589827 GED589827:GEE589827 GNZ589827:GOA589827 GXV589827:GXW589827 HHR589827:HHS589827 HRN589827:HRO589827 IBJ589827:IBK589827 ILF589827:ILG589827 IVB589827:IVC589827 JEX589827:JEY589827 JOT589827:JOU589827 JYP589827:JYQ589827 KIL589827:KIM589827 KSH589827:KSI589827 LCD589827:LCE589827 LLZ589827:LMA589827 LVV589827:LVW589827 MFR589827:MFS589827 MPN589827:MPO589827 MZJ589827:MZK589827 NJF589827:NJG589827 NTB589827:NTC589827 OCX589827:OCY589827 OMT589827:OMU589827 OWP589827:OWQ589827 PGL589827:PGM589827 PQH589827:PQI589827 QAD589827:QAE589827 QJZ589827:QKA589827 QTV589827:QTW589827 RDR589827:RDS589827 RNN589827:RNO589827 RXJ589827:RXK589827 SHF589827:SHG589827 SRB589827:SRC589827 TAX589827:TAY589827 TKT589827:TKU589827 TUP589827:TUQ589827 UEL589827:UEM589827 UOH589827:UOI589827 UYD589827:UYE589827 VHZ589827:VIA589827 VRV589827:VRW589827 WBR589827:WBS589827 WLN589827:WLO589827 WVJ589827:WVK589827 B655363:C655363 IX655363:IY655363 ST655363:SU655363 ACP655363:ACQ655363 AML655363:AMM655363 AWH655363:AWI655363 BGD655363:BGE655363 BPZ655363:BQA655363 BZV655363:BZW655363 CJR655363:CJS655363 CTN655363:CTO655363 DDJ655363:DDK655363 DNF655363:DNG655363 DXB655363:DXC655363 EGX655363:EGY655363 EQT655363:EQU655363 FAP655363:FAQ655363 FKL655363:FKM655363 FUH655363:FUI655363 GED655363:GEE655363 GNZ655363:GOA655363 GXV655363:GXW655363 HHR655363:HHS655363 HRN655363:HRO655363 IBJ655363:IBK655363 ILF655363:ILG655363 IVB655363:IVC655363 JEX655363:JEY655363 JOT655363:JOU655363 JYP655363:JYQ655363 KIL655363:KIM655363 KSH655363:KSI655363 LCD655363:LCE655363 LLZ655363:LMA655363 LVV655363:LVW655363 MFR655363:MFS655363 MPN655363:MPO655363 MZJ655363:MZK655363 NJF655363:NJG655363 NTB655363:NTC655363 OCX655363:OCY655363 OMT655363:OMU655363 OWP655363:OWQ655363 PGL655363:PGM655363 PQH655363:PQI655363 QAD655363:QAE655363 QJZ655363:QKA655363 QTV655363:QTW655363 RDR655363:RDS655363 RNN655363:RNO655363 RXJ655363:RXK655363 SHF655363:SHG655363 SRB655363:SRC655363 TAX655363:TAY655363 TKT655363:TKU655363 TUP655363:TUQ655363 UEL655363:UEM655363 UOH655363:UOI655363 UYD655363:UYE655363 VHZ655363:VIA655363 VRV655363:VRW655363 WBR655363:WBS655363 WLN655363:WLO655363 WVJ655363:WVK655363 B720899:C720899 IX720899:IY720899 ST720899:SU720899 ACP720899:ACQ720899 AML720899:AMM720899 AWH720899:AWI720899 BGD720899:BGE720899 BPZ720899:BQA720899 BZV720899:BZW720899 CJR720899:CJS720899 CTN720899:CTO720899 DDJ720899:DDK720899 DNF720899:DNG720899 DXB720899:DXC720899 EGX720899:EGY720899 EQT720899:EQU720899 FAP720899:FAQ720899 FKL720899:FKM720899 FUH720899:FUI720899 GED720899:GEE720899 GNZ720899:GOA720899 GXV720899:GXW720899 HHR720899:HHS720899 HRN720899:HRO720899 IBJ720899:IBK720899 ILF720899:ILG720899 IVB720899:IVC720899 JEX720899:JEY720899 JOT720899:JOU720899 JYP720899:JYQ720899 KIL720899:KIM720899 KSH720899:KSI720899 LCD720899:LCE720899 LLZ720899:LMA720899 LVV720899:LVW720899 MFR720899:MFS720899 MPN720899:MPO720899 MZJ720899:MZK720899 NJF720899:NJG720899 NTB720899:NTC720899 OCX720899:OCY720899 OMT720899:OMU720899 OWP720899:OWQ720899 PGL720899:PGM720899 PQH720899:PQI720899 QAD720899:QAE720899 QJZ720899:QKA720899 QTV720899:QTW720899 RDR720899:RDS720899 RNN720899:RNO720899 RXJ720899:RXK720899 SHF720899:SHG720899 SRB720899:SRC720899 TAX720899:TAY720899 TKT720899:TKU720899 TUP720899:TUQ720899 UEL720899:UEM720899 UOH720899:UOI720899 UYD720899:UYE720899 VHZ720899:VIA720899 VRV720899:VRW720899 WBR720899:WBS720899 WLN720899:WLO720899 WVJ720899:WVK720899 B786435:C786435 IX786435:IY786435 ST786435:SU786435 ACP786435:ACQ786435 AML786435:AMM786435 AWH786435:AWI786435 BGD786435:BGE786435 BPZ786435:BQA786435 BZV786435:BZW786435 CJR786435:CJS786435 CTN786435:CTO786435 DDJ786435:DDK786435 DNF786435:DNG786435 DXB786435:DXC786435 EGX786435:EGY786435 EQT786435:EQU786435 FAP786435:FAQ786435 FKL786435:FKM786435 FUH786435:FUI786435 GED786435:GEE786435 GNZ786435:GOA786435 GXV786435:GXW786435 HHR786435:HHS786435 HRN786435:HRO786435 IBJ786435:IBK786435 ILF786435:ILG786435 IVB786435:IVC786435 JEX786435:JEY786435 JOT786435:JOU786435 JYP786435:JYQ786435 KIL786435:KIM786435 KSH786435:KSI786435 LCD786435:LCE786435 LLZ786435:LMA786435 LVV786435:LVW786435 MFR786435:MFS786435 MPN786435:MPO786435 MZJ786435:MZK786435 NJF786435:NJG786435 NTB786435:NTC786435 OCX786435:OCY786435 OMT786435:OMU786435 OWP786435:OWQ786435 PGL786435:PGM786435 PQH786435:PQI786435 QAD786435:QAE786435 QJZ786435:QKA786435 QTV786435:QTW786435 RDR786435:RDS786435 RNN786435:RNO786435 RXJ786435:RXK786435 SHF786435:SHG786435 SRB786435:SRC786435 TAX786435:TAY786435 TKT786435:TKU786435 TUP786435:TUQ786435 UEL786435:UEM786435 UOH786435:UOI786435 UYD786435:UYE786435 VHZ786435:VIA786435 VRV786435:VRW786435 WBR786435:WBS786435 WLN786435:WLO786435 WVJ786435:WVK786435 B851971:C851971 IX851971:IY851971 ST851971:SU851971 ACP851971:ACQ851971 AML851971:AMM851971 AWH851971:AWI851971 BGD851971:BGE851971 BPZ851971:BQA851971 BZV851971:BZW851971 CJR851971:CJS851971 CTN851971:CTO851971 DDJ851971:DDK851971 DNF851971:DNG851971 DXB851971:DXC851971 EGX851971:EGY851971 EQT851971:EQU851971 FAP851971:FAQ851971 FKL851971:FKM851971 FUH851971:FUI851971 GED851971:GEE851971 GNZ851971:GOA851971 GXV851971:GXW851971 HHR851971:HHS851971 HRN851971:HRO851971 IBJ851971:IBK851971 ILF851971:ILG851971 IVB851971:IVC851971 JEX851971:JEY851971 JOT851971:JOU851971 JYP851971:JYQ851971 KIL851971:KIM851971 KSH851971:KSI851971 LCD851971:LCE851971 LLZ851971:LMA851971 LVV851971:LVW851971 MFR851971:MFS851971 MPN851971:MPO851971 MZJ851971:MZK851971 NJF851971:NJG851971 NTB851971:NTC851971 OCX851971:OCY851971 OMT851971:OMU851971 OWP851971:OWQ851971 PGL851971:PGM851971 PQH851971:PQI851971 QAD851971:QAE851971 QJZ851971:QKA851971 QTV851971:QTW851971 RDR851971:RDS851971 RNN851971:RNO851971 RXJ851971:RXK851971 SHF851971:SHG851971 SRB851971:SRC851971 TAX851971:TAY851971 TKT851971:TKU851971 TUP851971:TUQ851971 UEL851971:UEM851971 UOH851971:UOI851971 UYD851971:UYE851971 VHZ851971:VIA851971 VRV851971:VRW851971 WBR851971:WBS851971 WLN851971:WLO851971 WVJ851971:WVK851971 B917507:C917507 IX917507:IY917507 ST917507:SU917507 ACP917507:ACQ917507 AML917507:AMM917507 AWH917507:AWI917507 BGD917507:BGE917507 BPZ917507:BQA917507 BZV917507:BZW917507 CJR917507:CJS917507 CTN917507:CTO917507 DDJ917507:DDK917507 DNF917507:DNG917507 DXB917507:DXC917507 EGX917507:EGY917507 EQT917507:EQU917507 FAP917507:FAQ917507 FKL917507:FKM917507 FUH917507:FUI917507 GED917507:GEE917507 GNZ917507:GOA917507 GXV917507:GXW917507 HHR917507:HHS917507 HRN917507:HRO917507 IBJ917507:IBK917507 ILF917507:ILG917507 IVB917507:IVC917507 JEX917507:JEY917507 JOT917507:JOU917507 JYP917507:JYQ917507 KIL917507:KIM917507 KSH917507:KSI917507 LCD917507:LCE917507 LLZ917507:LMA917507 LVV917507:LVW917507 MFR917507:MFS917507 MPN917507:MPO917507 MZJ917507:MZK917507 NJF917507:NJG917507 NTB917507:NTC917507 OCX917507:OCY917507 OMT917507:OMU917507 OWP917507:OWQ917507 PGL917507:PGM917507 PQH917507:PQI917507 QAD917507:QAE917507 QJZ917507:QKA917507 QTV917507:QTW917507 RDR917507:RDS917507 RNN917507:RNO917507 RXJ917507:RXK917507 SHF917507:SHG917507 SRB917507:SRC917507 TAX917507:TAY917507 TKT917507:TKU917507 TUP917507:TUQ917507 UEL917507:UEM917507 UOH917507:UOI917507 UYD917507:UYE917507 VHZ917507:VIA917507 VRV917507:VRW917507 WBR917507:WBS917507 WLN917507:WLO917507 WVJ917507:WVK917507 B983043:C983043 IX983043:IY983043 ST983043:SU983043 ACP983043:ACQ983043 AML983043:AMM983043 AWH983043:AWI983043 BGD983043:BGE983043 BPZ983043:BQA983043 BZV983043:BZW983043 CJR983043:CJS983043 CTN983043:CTO983043 DDJ983043:DDK983043 DNF983043:DNG983043 DXB983043:DXC983043 EGX983043:EGY983043 EQT983043:EQU983043 FAP983043:FAQ983043 FKL983043:FKM983043 FUH983043:FUI983043 GED983043:GEE983043 GNZ983043:GOA983043 GXV983043:GXW983043 HHR983043:HHS983043 HRN983043:HRO983043 IBJ983043:IBK983043 ILF983043:ILG983043 IVB983043:IVC983043 JEX983043:JEY983043 JOT983043:JOU983043 JYP983043:JYQ983043 KIL983043:KIM983043 KSH983043:KSI983043 LCD983043:LCE983043 LLZ983043:LMA983043 LVV983043:LVW983043 MFR983043:MFS983043 MPN983043:MPO983043 MZJ983043:MZK983043 NJF983043:NJG983043 NTB983043:NTC983043 OCX983043:OCY983043 OMT983043:OMU983043 OWP983043:OWQ983043 PGL983043:PGM983043 PQH983043:PQI983043 QAD983043:QAE983043 QJZ983043:QKA983043 QTV983043:QTW983043 RDR983043:RDS983043 RNN983043:RNO983043 RXJ983043:RXK983043 SHF983043:SHG983043 SRB983043:SRC983043 TAX983043:TAY983043 TKT983043:TKU983043 TUP983043:TUQ983043 UEL983043:UEM983043 UOH983043:UOI983043 UYD983043:UYE983043 VHZ983043:VIA983043 VRV983043:VRW983043 WBR983043:WBS983043 WLN983043:WLO983043 WVJ983043:WVK983043">
      <formula1>$L$18:$L$19</formula1>
    </dataValidation>
    <dataValidation type="list" allowBlank="1" showInputMessage="1" showErrorMessage="1" errorTitle="Error message" error="Type not valid!" sqref="B8:C8 IX8:IY8 ST8:SU8 ACP8:ACQ8 AML8:AMM8 AWH8:AWI8 BGD8:BGE8 BPZ8:BQA8 BZV8:BZW8 CJR8:CJS8 CTN8:CTO8 DDJ8:DDK8 DNF8:DNG8 DXB8:DXC8 EGX8:EGY8 EQT8:EQU8 FAP8:FAQ8 FKL8:FKM8 FUH8:FUI8 GED8:GEE8 GNZ8:GOA8 GXV8:GXW8 HHR8:HHS8 HRN8:HRO8 IBJ8:IBK8 ILF8:ILG8 IVB8:IVC8 JEX8:JEY8 JOT8:JOU8 JYP8:JYQ8 KIL8:KIM8 KSH8:KSI8 LCD8:LCE8 LLZ8:LMA8 LVV8:LVW8 MFR8:MFS8 MPN8:MPO8 MZJ8:MZK8 NJF8:NJG8 NTB8:NTC8 OCX8:OCY8 OMT8:OMU8 OWP8:OWQ8 PGL8:PGM8 PQH8:PQI8 QAD8:QAE8 QJZ8:QKA8 QTV8:QTW8 RDR8:RDS8 RNN8:RNO8 RXJ8:RXK8 SHF8:SHG8 SRB8:SRC8 TAX8:TAY8 TKT8:TKU8 TUP8:TUQ8 UEL8:UEM8 UOH8:UOI8 UYD8:UYE8 VHZ8:VIA8 VRV8:VRW8 WBR8:WBS8 WLN8:WLO8 WVJ8:WVK8 B65540:C65540 IX65540:IY65540 ST65540:SU65540 ACP65540:ACQ65540 AML65540:AMM65540 AWH65540:AWI65540 BGD65540:BGE65540 BPZ65540:BQA65540 BZV65540:BZW65540 CJR65540:CJS65540 CTN65540:CTO65540 DDJ65540:DDK65540 DNF65540:DNG65540 DXB65540:DXC65540 EGX65540:EGY65540 EQT65540:EQU65540 FAP65540:FAQ65540 FKL65540:FKM65540 FUH65540:FUI65540 GED65540:GEE65540 GNZ65540:GOA65540 GXV65540:GXW65540 HHR65540:HHS65540 HRN65540:HRO65540 IBJ65540:IBK65540 ILF65540:ILG65540 IVB65540:IVC65540 JEX65540:JEY65540 JOT65540:JOU65540 JYP65540:JYQ65540 KIL65540:KIM65540 KSH65540:KSI65540 LCD65540:LCE65540 LLZ65540:LMA65540 LVV65540:LVW65540 MFR65540:MFS65540 MPN65540:MPO65540 MZJ65540:MZK65540 NJF65540:NJG65540 NTB65540:NTC65540 OCX65540:OCY65540 OMT65540:OMU65540 OWP65540:OWQ65540 PGL65540:PGM65540 PQH65540:PQI65540 QAD65540:QAE65540 QJZ65540:QKA65540 QTV65540:QTW65540 RDR65540:RDS65540 RNN65540:RNO65540 RXJ65540:RXK65540 SHF65540:SHG65540 SRB65540:SRC65540 TAX65540:TAY65540 TKT65540:TKU65540 TUP65540:TUQ65540 UEL65540:UEM65540 UOH65540:UOI65540 UYD65540:UYE65540 VHZ65540:VIA65540 VRV65540:VRW65540 WBR65540:WBS65540 WLN65540:WLO65540 WVJ65540:WVK65540 B131076:C131076 IX131076:IY131076 ST131076:SU131076 ACP131076:ACQ131076 AML131076:AMM131076 AWH131076:AWI131076 BGD131076:BGE131076 BPZ131076:BQA131076 BZV131076:BZW131076 CJR131076:CJS131076 CTN131076:CTO131076 DDJ131076:DDK131076 DNF131076:DNG131076 DXB131076:DXC131076 EGX131076:EGY131076 EQT131076:EQU131076 FAP131076:FAQ131076 FKL131076:FKM131076 FUH131076:FUI131076 GED131076:GEE131076 GNZ131076:GOA131076 GXV131076:GXW131076 HHR131076:HHS131076 HRN131076:HRO131076 IBJ131076:IBK131076 ILF131076:ILG131076 IVB131076:IVC131076 JEX131076:JEY131076 JOT131076:JOU131076 JYP131076:JYQ131076 KIL131076:KIM131076 KSH131076:KSI131076 LCD131076:LCE131076 LLZ131076:LMA131076 LVV131076:LVW131076 MFR131076:MFS131076 MPN131076:MPO131076 MZJ131076:MZK131076 NJF131076:NJG131076 NTB131076:NTC131076 OCX131076:OCY131076 OMT131076:OMU131076 OWP131076:OWQ131076 PGL131076:PGM131076 PQH131076:PQI131076 QAD131076:QAE131076 QJZ131076:QKA131076 QTV131076:QTW131076 RDR131076:RDS131076 RNN131076:RNO131076 RXJ131076:RXK131076 SHF131076:SHG131076 SRB131076:SRC131076 TAX131076:TAY131076 TKT131076:TKU131076 TUP131076:TUQ131076 UEL131076:UEM131076 UOH131076:UOI131076 UYD131076:UYE131076 VHZ131076:VIA131076 VRV131076:VRW131076 WBR131076:WBS131076 WLN131076:WLO131076 WVJ131076:WVK131076 B196612:C196612 IX196612:IY196612 ST196612:SU196612 ACP196612:ACQ196612 AML196612:AMM196612 AWH196612:AWI196612 BGD196612:BGE196612 BPZ196612:BQA196612 BZV196612:BZW196612 CJR196612:CJS196612 CTN196612:CTO196612 DDJ196612:DDK196612 DNF196612:DNG196612 DXB196612:DXC196612 EGX196612:EGY196612 EQT196612:EQU196612 FAP196612:FAQ196612 FKL196612:FKM196612 FUH196612:FUI196612 GED196612:GEE196612 GNZ196612:GOA196612 GXV196612:GXW196612 HHR196612:HHS196612 HRN196612:HRO196612 IBJ196612:IBK196612 ILF196612:ILG196612 IVB196612:IVC196612 JEX196612:JEY196612 JOT196612:JOU196612 JYP196612:JYQ196612 KIL196612:KIM196612 KSH196612:KSI196612 LCD196612:LCE196612 LLZ196612:LMA196612 LVV196612:LVW196612 MFR196612:MFS196612 MPN196612:MPO196612 MZJ196612:MZK196612 NJF196612:NJG196612 NTB196612:NTC196612 OCX196612:OCY196612 OMT196612:OMU196612 OWP196612:OWQ196612 PGL196612:PGM196612 PQH196612:PQI196612 QAD196612:QAE196612 QJZ196612:QKA196612 QTV196612:QTW196612 RDR196612:RDS196612 RNN196612:RNO196612 RXJ196612:RXK196612 SHF196612:SHG196612 SRB196612:SRC196612 TAX196612:TAY196612 TKT196612:TKU196612 TUP196612:TUQ196612 UEL196612:UEM196612 UOH196612:UOI196612 UYD196612:UYE196612 VHZ196612:VIA196612 VRV196612:VRW196612 WBR196612:WBS196612 WLN196612:WLO196612 WVJ196612:WVK196612 B262148:C262148 IX262148:IY262148 ST262148:SU262148 ACP262148:ACQ262148 AML262148:AMM262148 AWH262148:AWI262148 BGD262148:BGE262148 BPZ262148:BQA262148 BZV262148:BZW262148 CJR262148:CJS262148 CTN262148:CTO262148 DDJ262148:DDK262148 DNF262148:DNG262148 DXB262148:DXC262148 EGX262148:EGY262148 EQT262148:EQU262148 FAP262148:FAQ262148 FKL262148:FKM262148 FUH262148:FUI262148 GED262148:GEE262148 GNZ262148:GOA262148 GXV262148:GXW262148 HHR262148:HHS262148 HRN262148:HRO262148 IBJ262148:IBK262148 ILF262148:ILG262148 IVB262148:IVC262148 JEX262148:JEY262148 JOT262148:JOU262148 JYP262148:JYQ262148 KIL262148:KIM262148 KSH262148:KSI262148 LCD262148:LCE262148 LLZ262148:LMA262148 LVV262148:LVW262148 MFR262148:MFS262148 MPN262148:MPO262148 MZJ262148:MZK262148 NJF262148:NJG262148 NTB262148:NTC262148 OCX262148:OCY262148 OMT262148:OMU262148 OWP262148:OWQ262148 PGL262148:PGM262148 PQH262148:PQI262148 QAD262148:QAE262148 QJZ262148:QKA262148 QTV262148:QTW262148 RDR262148:RDS262148 RNN262148:RNO262148 RXJ262148:RXK262148 SHF262148:SHG262148 SRB262148:SRC262148 TAX262148:TAY262148 TKT262148:TKU262148 TUP262148:TUQ262148 UEL262148:UEM262148 UOH262148:UOI262148 UYD262148:UYE262148 VHZ262148:VIA262148 VRV262148:VRW262148 WBR262148:WBS262148 WLN262148:WLO262148 WVJ262148:WVK262148 B327684:C327684 IX327684:IY327684 ST327684:SU327684 ACP327684:ACQ327684 AML327684:AMM327684 AWH327684:AWI327684 BGD327684:BGE327684 BPZ327684:BQA327684 BZV327684:BZW327684 CJR327684:CJS327684 CTN327684:CTO327684 DDJ327684:DDK327684 DNF327684:DNG327684 DXB327684:DXC327684 EGX327684:EGY327684 EQT327684:EQU327684 FAP327684:FAQ327684 FKL327684:FKM327684 FUH327684:FUI327684 GED327684:GEE327684 GNZ327684:GOA327684 GXV327684:GXW327684 HHR327684:HHS327684 HRN327684:HRO327684 IBJ327684:IBK327684 ILF327684:ILG327684 IVB327684:IVC327684 JEX327684:JEY327684 JOT327684:JOU327684 JYP327684:JYQ327684 KIL327684:KIM327684 KSH327684:KSI327684 LCD327684:LCE327684 LLZ327684:LMA327684 LVV327684:LVW327684 MFR327684:MFS327684 MPN327684:MPO327684 MZJ327684:MZK327684 NJF327684:NJG327684 NTB327684:NTC327684 OCX327684:OCY327684 OMT327684:OMU327684 OWP327684:OWQ327684 PGL327684:PGM327684 PQH327684:PQI327684 QAD327684:QAE327684 QJZ327684:QKA327684 QTV327684:QTW327684 RDR327684:RDS327684 RNN327684:RNO327684 RXJ327684:RXK327684 SHF327684:SHG327684 SRB327684:SRC327684 TAX327684:TAY327684 TKT327684:TKU327684 TUP327684:TUQ327684 UEL327684:UEM327684 UOH327684:UOI327684 UYD327684:UYE327684 VHZ327684:VIA327684 VRV327684:VRW327684 WBR327684:WBS327684 WLN327684:WLO327684 WVJ327684:WVK327684 B393220:C393220 IX393220:IY393220 ST393220:SU393220 ACP393220:ACQ393220 AML393220:AMM393220 AWH393220:AWI393220 BGD393220:BGE393220 BPZ393220:BQA393220 BZV393220:BZW393220 CJR393220:CJS393220 CTN393220:CTO393220 DDJ393220:DDK393220 DNF393220:DNG393220 DXB393220:DXC393220 EGX393220:EGY393220 EQT393220:EQU393220 FAP393220:FAQ393220 FKL393220:FKM393220 FUH393220:FUI393220 GED393220:GEE393220 GNZ393220:GOA393220 GXV393220:GXW393220 HHR393220:HHS393220 HRN393220:HRO393220 IBJ393220:IBK393220 ILF393220:ILG393220 IVB393220:IVC393220 JEX393220:JEY393220 JOT393220:JOU393220 JYP393220:JYQ393220 KIL393220:KIM393220 KSH393220:KSI393220 LCD393220:LCE393220 LLZ393220:LMA393220 LVV393220:LVW393220 MFR393220:MFS393220 MPN393220:MPO393220 MZJ393220:MZK393220 NJF393220:NJG393220 NTB393220:NTC393220 OCX393220:OCY393220 OMT393220:OMU393220 OWP393220:OWQ393220 PGL393220:PGM393220 PQH393220:PQI393220 QAD393220:QAE393220 QJZ393220:QKA393220 QTV393220:QTW393220 RDR393220:RDS393220 RNN393220:RNO393220 RXJ393220:RXK393220 SHF393220:SHG393220 SRB393220:SRC393220 TAX393220:TAY393220 TKT393220:TKU393220 TUP393220:TUQ393220 UEL393220:UEM393220 UOH393220:UOI393220 UYD393220:UYE393220 VHZ393220:VIA393220 VRV393220:VRW393220 WBR393220:WBS393220 WLN393220:WLO393220 WVJ393220:WVK393220 B458756:C458756 IX458756:IY458756 ST458756:SU458756 ACP458756:ACQ458756 AML458756:AMM458756 AWH458756:AWI458756 BGD458756:BGE458756 BPZ458756:BQA458756 BZV458756:BZW458756 CJR458756:CJS458756 CTN458756:CTO458756 DDJ458756:DDK458756 DNF458756:DNG458756 DXB458756:DXC458756 EGX458756:EGY458756 EQT458756:EQU458756 FAP458756:FAQ458756 FKL458756:FKM458756 FUH458756:FUI458756 GED458756:GEE458756 GNZ458756:GOA458756 GXV458756:GXW458756 HHR458756:HHS458756 HRN458756:HRO458756 IBJ458756:IBK458756 ILF458756:ILG458756 IVB458756:IVC458756 JEX458756:JEY458756 JOT458756:JOU458756 JYP458756:JYQ458756 KIL458756:KIM458756 KSH458756:KSI458756 LCD458756:LCE458756 LLZ458756:LMA458756 LVV458756:LVW458756 MFR458756:MFS458756 MPN458756:MPO458756 MZJ458756:MZK458756 NJF458756:NJG458756 NTB458756:NTC458756 OCX458756:OCY458756 OMT458756:OMU458756 OWP458756:OWQ458756 PGL458756:PGM458756 PQH458756:PQI458756 QAD458756:QAE458756 QJZ458756:QKA458756 QTV458756:QTW458756 RDR458756:RDS458756 RNN458756:RNO458756 RXJ458756:RXK458756 SHF458756:SHG458756 SRB458756:SRC458756 TAX458756:TAY458756 TKT458756:TKU458756 TUP458756:TUQ458756 UEL458756:UEM458756 UOH458756:UOI458756 UYD458756:UYE458756 VHZ458756:VIA458756 VRV458756:VRW458756 WBR458756:WBS458756 WLN458756:WLO458756 WVJ458756:WVK458756 B524292:C524292 IX524292:IY524292 ST524292:SU524292 ACP524292:ACQ524292 AML524292:AMM524292 AWH524292:AWI524292 BGD524292:BGE524292 BPZ524292:BQA524292 BZV524292:BZW524292 CJR524292:CJS524292 CTN524292:CTO524292 DDJ524292:DDK524292 DNF524292:DNG524292 DXB524292:DXC524292 EGX524292:EGY524292 EQT524292:EQU524292 FAP524292:FAQ524292 FKL524292:FKM524292 FUH524292:FUI524292 GED524292:GEE524292 GNZ524292:GOA524292 GXV524292:GXW524292 HHR524292:HHS524292 HRN524292:HRO524292 IBJ524292:IBK524292 ILF524292:ILG524292 IVB524292:IVC524292 JEX524292:JEY524292 JOT524292:JOU524292 JYP524292:JYQ524292 KIL524292:KIM524292 KSH524292:KSI524292 LCD524292:LCE524292 LLZ524292:LMA524292 LVV524292:LVW524292 MFR524292:MFS524292 MPN524292:MPO524292 MZJ524292:MZK524292 NJF524292:NJG524292 NTB524292:NTC524292 OCX524292:OCY524292 OMT524292:OMU524292 OWP524292:OWQ524292 PGL524292:PGM524292 PQH524292:PQI524292 QAD524292:QAE524292 QJZ524292:QKA524292 QTV524292:QTW524292 RDR524292:RDS524292 RNN524292:RNO524292 RXJ524292:RXK524292 SHF524292:SHG524292 SRB524292:SRC524292 TAX524292:TAY524292 TKT524292:TKU524292 TUP524292:TUQ524292 UEL524292:UEM524292 UOH524292:UOI524292 UYD524292:UYE524292 VHZ524292:VIA524292 VRV524292:VRW524292 WBR524292:WBS524292 WLN524292:WLO524292 WVJ524292:WVK524292 B589828:C589828 IX589828:IY589828 ST589828:SU589828 ACP589828:ACQ589828 AML589828:AMM589828 AWH589828:AWI589828 BGD589828:BGE589828 BPZ589828:BQA589828 BZV589828:BZW589828 CJR589828:CJS589828 CTN589828:CTO589828 DDJ589828:DDK589828 DNF589828:DNG589828 DXB589828:DXC589828 EGX589828:EGY589828 EQT589828:EQU589828 FAP589828:FAQ589828 FKL589828:FKM589828 FUH589828:FUI589828 GED589828:GEE589828 GNZ589828:GOA589828 GXV589828:GXW589828 HHR589828:HHS589828 HRN589828:HRO589828 IBJ589828:IBK589828 ILF589828:ILG589828 IVB589828:IVC589828 JEX589828:JEY589828 JOT589828:JOU589828 JYP589828:JYQ589828 KIL589828:KIM589828 KSH589828:KSI589828 LCD589828:LCE589828 LLZ589828:LMA589828 LVV589828:LVW589828 MFR589828:MFS589828 MPN589828:MPO589828 MZJ589828:MZK589828 NJF589828:NJG589828 NTB589828:NTC589828 OCX589828:OCY589828 OMT589828:OMU589828 OWP589828:OWQ589828 PGL589828:PGM589828 PQH589828:PQI589828 QAD589828:QAE589828 QJZ589828:QKA589828 QTV589828:QTW589828 RDR589828:RDS589828 RNN589828:RNO589828 RXJ589828:RXK589828 SHF589828:SHG589828 SRB589828:SRC589828 TAX589828:TAY589828 TKT589828:TKU589828 TUP589828:TUQ589828 UEL589828:UEM589828 UOH589828:UOI589828 UYD589828:UYE589828 VHZ589828:VIA589828 VRV589828:VRW589828 WBR589828:WBS589828 WLN589828:WLO589828 WVJ589828:WVK589828 B655364:C655364 IX655364:IY655364 ST655364:SU655364 ACP655364:ACQ655364 AML655364:AMM655364 AWH655364:AWI655364 BGD655364:BGE655364 BPZ655364:BQA655364 BZV655364:BZW655364 CJR655364:CJS655364 CTN655364:CTO655364 DDJ655364:DDK655364 DNF655364:DNG655364 DXB655364:DXC655364 EGX655364:EGY655364 EQT655364:EQU655364 FAP655364:FAQ655364 FKL655364:FKM655364 FUH655364:FUI655364 GED655364:GEE655364 GNZ655364:GOA655364 GXV655364:GXW655364 HHR655364:HHS655364 HRN655364:HRO655364 IBJ655364:IBK655364 ILF655364:ILG655364 IVB655364:IVC655364 JEX655364:JEY655364 JOT655364:JOU655364 JYP655364:JYQ655364 KIL655364:KIM655364 KSH655364:KSI655364 LCD655364:LCE655364 LLZ655364:LMA655364 LVV655364:LVW655364 MFR655364:MFS655364 MPN655364:MPO655364 MZJ655364:MZK655364 NJF655364:NJG655364 NTB655364:NTC655364 OCX655364:OCY655364 OMT655364:OMU655364 OWP655364:OWQ655364 PGL655364:PGM655364 PQH655364:PQI655364 QAD655364:QAE655364 QJZ655364:QKA655364 QTV655364:QTW655364 RDR655364:RDS655364 RNN655364:RNO655364 RXJ655364:RXK655364 SHF655364:SHG655364 SRB655364:SRC655364 TAX655364:TAY655364 TKT655364:TKU655364 TUP655364:TUQ655364 UEL655364:UEM655364 UOH655364:UOI655364 UYD655364:UYE655364 VHZ655364:VIA655364 VRV655364:VRW655364 WBR655364:WBS655364 WLN655364:WLO655364 WVJ655364:WVK655364 B720900:C720900 IX720900:IY720900 ST720900:SU720900 ACP720900:ACQ720900 AML720900:AMM720900 AWH720900:AWI720900 BGD720900:BGE720900 BPZ720900:BQA720900 BZV720900:BZW720900 CJR720900:CJS720900 CTN720900:CTO720900 DDJ720900:DDK720900 DNF720900:DNG720900 DXB720900:DXC720900 EGX720900:EGY720900 EQT720900:EQU720900 FAP720900:FAQ720900 FKL720900:FKM720900 FUH720900:FUI720900 GED720900:GEE720900 GNZ720900:GOA720900 GXV720900:GXW720900 HHR720900:HHS720900 HRN720900:HRO720900 IBJ720900:IBK720900 ILF720900:ILG720900 IVB720900:IVC720900 JEX720900:JEY720900 JOT720900:JOU720900 JYP720900:JYQ720900 KIL720900:KIM720900 KSH720900:KSI720900 LCD720900:LCE720900 LLZ720900:LMA720900 LVV720900:LVW720900 MFR720900:MFS720900 MPN720900:MPO720900 MZJ720900:MZK720900 NJF720900:NJG720900 NTB720900:NTC720900 OCX720900:OCY720900 OMT720900:OMU720900 OWP720900:OWQ720900 PGL720900:PGM720900 PQH720900:PQI720900 QAD720900:QAE720900 QJZ720900:QKA720900 QTV720900:QTW720900 RDR720900:RDS720900 RNN720900:RNO720900 RXJ720900:RXK720900 SHF720900:SHG720900 SRB720900:SRC720900 TAX720900:TAY720900 TKT720900:TKU720900 TUP720900:TUQ720900 UEL720900:UEM720900 UOH720900:UOI720900 UYD720900:UYE720900 VHZ720900:VIA720900 VRV720900:VRW720900 WBR720900:WBS720900 WLN720900:WLO720900 WVJ720900:WVK720900 B786436:C786436 IX786436:IY786436 ST786436:SU786436 ACP786436:ACQ786436 AML786436:AMM786436 AWH786436:AWI786436 BGD786436:BGE786436 BPZ786436:BQA786436 BZV786436:BZW786436 CJR786436:CJS786436 CTN786436:CTO786436 DDJ786436:DDK786436 DNF786436:DNG786436 DXB786436:DXC786436 EGX786436:EGY786436 EQT786436:EQU786436 FAP786436:FAQ786436 FKL786436:FKM786436 FUH786436:FUI786436 GED786436:GEE786436 GNZ786436:GOA786436 GXV786436:GXW786436 HHR786436:HHS786436 HRN786436:HRO786436 IBJ786436:IBK786436 ILF786436:ILG786436 IVB786436:IVC786436 JEX786436:JEY786436 JOT786436:JOU786436 JYP786436:JYQ786436 KIL786436:KIM786436 KSH786436:KSI786436 LCD786436:LCE786436 LLZ786436:LMA786436 LVV786436:LVW786436 MFR786436:MFS786436 MPN786436:MPO786436 MZJ786436:MZK786436 NJF786436:NJG786436 NTB786436:NTC786436 OCX786436:OCY786436 OMT786436:OMU786436 OWP786436:OWQ786436 PGL786436:PGM786436 PQH786436:PQI786436 QAD786436:QAE786436 QJZ786436:QKA786436 QTV786436:QTW786436 RDR786436:RDS786436 RNN786436:RNO786436 RXJ786436:RXK786436 SHF786436:SHG786436 SRB786436:SRC786436 TAX786436:TAY786436 TKT786436:TKU786436 TUP786436:TUQ786436 UEL786436:UEM786436 UOH786436:UOI786436 UYD786436:UYE786436 VHZ786436:VIA786436 VRV786436:VRW786436 WBR786436:WBS786436 WLN786436:WLO786436 WVJ786436:WVK786436 B851972:C851972 IX851972:IY851972 ST851972:SU851972 ACP851972:ACQ851972 AML851972:AMM851972 AWH851972:AWI851972 BGD851972:BGE851972 BPZ851972:BQA851972 BZV851972:BZW851972 CJR851972:CJS851972 CTN851972:CTO851972 DDJ851972:DDK851972 DNF851972:DNG851972 DXB851972:DXC851972 EGX851972:EGY851972 EQT851972:EQU851972 FAP851972:FAQ851972 FKL851972:FKM851972 FUH851972:FUI851972 GED851972:GEE851972 GNZ851972:GOA851972 GXV851972:GXW851972 HHR851972:HHS851972 HRN851972:HRO851972 IBJ851972:IBK851972 ILF851972:ILG851972 IVB851972:IVC851972 JEX851972:JEY851972 JOT851972:JOU851972 JYP851972:JYQ851972 KIL851972:KIM851972 KSH851972:KSI851972 LCD851972:LCE851972 LLZ851972:LMA851972 LVV851972:LVW851972 MFR851972:MFS851972 MPN851972:MPO851972 MZJ851972:MZK851972 NJF851972:NJG851972 NTB851972:NTC851972 OCX851972:OCY851972 OMT851972:OMU851972 OWP851972:OWQ851972 PGL851972:PGM851972 PQH851972:PQI851972 QAD851972:QAE851972 QJZ851972:QKA851972 QTV851972:QTW851972 RDR851972:RDS851972 RNN851972:RNO851972 RXJ851972:RXK851972 SHF851972:SHG851972 SRB851972:SRC851972 TAX851972:TAY851972 TKT851972:TKU851972 TUP851972:TUQ851972 UEL851972:UEM851972 UOH851972:UOI851972 UYD851972:UYE851972 VHZ851972:VIA851972 VRV851972:VRW851972 WBR851972:WBS851972 WLN851972:WLO851972 WVJ851972:WVK851972 B917508:C917508 IX917508:IY917508 ST917508:SU917508 ACP917508:ACQ917508 AML917508:AMM917508 AWH917508:AWI917508 BGD917508:BGE917508 BPZ917508:BQA917508 BZV917508:BZW917508 CJR917508:CJS917508 CTN917508:CTO917508 DDJ917508:DDK917508 DNF917508:DNG917508 DXB917508:DXC917508 EGX917508:EGY917508 EQT917508:EQU917508 FAP917508:FAQ917508 FKL917508:FKM917508 FUH917508:FUI917508 GED917508:GEE917508 GNZ917508:GOA917508 GXV917508:GXW917508 HHR917508:HHS917508 HRN917508:HRO917508 IBJ917508:IBK917508 ILF917508:ILG917508 IVB917508:IVC917508 JEX917508:JEY917508 JOT917508:JOU917508 JYP917508:JYQ917508 KIL917508:KIM917508 KSH917508:KSI917508 LCD917508:LCE917508 LLZ917508:LMA917508 LVV917508:LVW917508 MFR917508:MFS917508 MPN917508:MPO917508 MZJ917508:MZK917508 NJF917508:NJG917508 NTB917508:NTC917508 OCX917508:OCY917508 OMT917508:OMU917508 OWP917508:OWQ917508 PGL917508:PGM917508 PQH917508:PQI917508 QAD917508:QAE917508 QJZ917508:QKA917508 QTV917508:QTW917508 RDR917508:RDS917508 RNN917508:RNO917508 RXJ917508:RXK917508 SHF917508:SHG917508 SRB917508:SRC917508 TAX917508:TAY917508 TKT917508:TKU917508 TUP917508:TUQ917508 UEL917508:UEM917508 UOH917508:UOI917508 UYD917508:UYE917508 VHZ917508:VIA917508 VRV917508:VRW917508 WBR917508:WBS917508 WLN917508:WLO917508 WVJ917508:WVK917508 B983044:C983044 IX983044:IY983044 ST983044:SU983044 ACP983044:ACQ983044 AML983044:AMM983044 AWH983044:AWI983044 BGD983044:BGE983044 BPZ983044:BQA983044 BZV983044:BZW983044 CJR983044:CJS983044 CTN983044:CTO983044 DDJ983044:DDK983044 DNF983044:DNG983044 DXB983044:DXC983044 EGX983044:EGY983044 EQT983044:EQU983044 FAP983044:FAQ983044 FKL983044:FKM983044 FUH983044:FUI983044 GED983044:GEE983044 GNZ983044:GOA983044 GXV983044:GXW983044 HHR983044:HHS983044 HRN983044:HRO983044 IBJ983044:IBK983044 ILF983044:ILG983044 IVB983044:IVC983044 JEX983044:JEY983044 JOT983044:JOU983044 JYP983044:JYQ983044 KIL983044:KIM983044 KSH983044:KSI983044 LCD983044:LCE983044 LLZ983044:LMA983044 LVV983044:LVW983044 MFR983044:MFS983044 MPN983044:MPO983044 MZJ983044:MZK983044 NJF983044:NJG983044 NTB983044:NTC983044 OCX983044:OCY983044 OMT983044:OMU983044 OWP983044:OWQ983044 PGL983044:PGM983044 PQH983044:PQI983044 QAD983044:QAE983044 QJZ983044:QKA983044 QTV983044:QTW983044 RDR983044:RDS983044 RNN983044:RNO983044 RXJ983044:RXK983044 SHF983044:SHG983044 SRB983044:SRC983044 TAX983044:TAY983044 TKT983044:TKU983044 TUP983044:TUQ983044 UEL983044:UEM983044 UOH983044:UOI983044 UYD983044:UYE983044 VHZ983044:VIA983044 VRV983044:VRW983044 WBR983044:WBS983044 WLN983044:WLO983044 WVJ983044:WVK983044 B13:C13 IX13:IY13 ST13:SU13 ACP13:ACQ13 AML13:AMM13 AWH13:AWI13 BGD13:BGE13 BPZ13:BQA13 BZV13:BZW13 CJR13:CJS13 CTN13:CTO13 DDJ13:DDK13 DNF13:DNG13 DXB13:DXC13 EGX13:EGY13 EQT13:EQU13 FAP13:FAQ13 FKL13:FKM13 FUH13:FUI13 GED13:GEE13 GNZ13:GOA13 GXV13:GXW13 HHR13:HHS13 HRN13:HRO13 IBJ13:IBK13 ILF13:ILG13 IVB13:IVC13 JEX13:JEY13 JOT13:JOU13 JYP13:JYQ13 KIL13:KIM13 KSH13:KSI13 LCD13:LCE13 LLZ13:LMA13 LVV13:LVW13 MFR13:MFS13 MPN13:MPO13 MZJ13:MZK13 NJF13:NJG13 NTB13:NTC13 OCX13:OCY13 OMT13:OMU13 OWP13:OWQ13 PGL13:PGM13 PQH13:PQI13 QAD13:QAE13 QJZ13:QKA13 QTV13:QTW13 RDR13:RDS13 RNN13:RNO13 RXJ13:RXK13 SHF13:SHG13 SRB13:SRC13 TAX13:TAY13 TKT13:TKU13 TUP13:TUQ13 UEL13:UEM13 UOH13:UOI13 UYD13:UYE13 VHZ13:VIA13 VRV13:VRW13 WBR13:WBS13 WLN13:WLO13 WVJ13:WVK13 B65545:C65545 IX65545:IY65545 ST65545:SU65545 ACP65545:ACQ65545 AML65545:AMM65545 AWH65545:AWI65545 BGD65545:BGE65545 BPZ65545:BQA65545 BZV65545:BZW65545 CJR65545:CJS65545 CTN65545:CTO65545 DDJ65545:DDK65545 DNF65545:DNG65545 DXB65545:DXC65545 EGX65545:EGY65545 EQT65545:EQU65545 FAP65545:FAQ65545 FKL65545:FKM65545 FUH65545:FUI65545 GED65545:GEE65545 GNZ65545:GOA65545 GXV65545:GXW65545 HHR65545:HHS65545 HRN65545:HRO65545 IBJ65545:IBK65545 ILF65545:ILG65545 IVB65545:IVC65545 JEX65545:JEY65545 JOT65545:JOU65545 JYP65545:JYQ65545 KIL65545:KIM65545 KSH65545:KSI65545 LCD65545:LCE65545 LLZ65545:LMA65545 LVV65545:LVW65545 MFR65545:MFS65545 MPN65545:MPO65545 MZJ65545:MZK65545 NJF65545:NJG65545 NTB65545:NTC65545 OCX65545:OCY65545 OMT65545:OMU65545 OWP65545:OWQ65545 PGL65545:PGM65545 PQH65545:PQI65545 QAD65545:QAE65545 QJZ65545:QKA65545 QTV65545:QTW65545 RDR65545:RDS65545 RNN65545:RNO65545 RXJ65545:RXK65545 SHF65545:SHG65545 SRB65545:SRC65545 TAX65545:TAY65545 TKT65545:TKU65545 TUP65545:TUQ65545 UEL65545:UEM65545 UOH65545:UOI65545 UYD65545:UYE65545 VHZ65545:VIA65545 VRV65545:VRW65545 WBR65545:WBS65545 WLN65545:WLO65545 WVJ65545:WVK65545 B131081:C131081 IX131081:IY131081 ST131081:SU131081 ACP131081:ACQ131081 AML131081:AMM131081 AWH131081:AWI131081 BGD131081:BGE131081 BPZ131081:BQA131081 BZV131081:BZW131081 CJR131081:CJS131081 CTN131081:CTO131081 DDJ131081:DDK131081 DNF131081:DNG131081 DXB131081:DXC131081 EGX131081:EGY131081 EQT131081:EQU131081 FAP131081:FAQ131081 FKL131081:FKM131081 FUH131081:FUI131081 GED131081:GEE131081 GNZ131081:GOA131081 GXV131081:GXW131081 HHR131081:HHS131081 HRN131081:HRO131081 IBJ131081:IBK131081 ILF131081:ILG131081 IVB131081:IVC131081 JEX131081:JEY131081 JOT131081:JOU131081 JYP131081:JYQ131081 KIL131081:KIM131081 KSH131081:KSI131081 LCD131081:LCE131081 LLZ131081:LMA131081 LVV131081:LVW131081 MFR131081:MFS131081 MPN131081:MPO131081 MZJ131081:MZK131081 NJF131081:NJG131081 NTB131081:NTC131081 OCX131081:OCY131081 OMT131081:OMU131081 OWP131081:OWQ131081 PGL131081:PGM131081 PQH131081:PQI131081 QAD131081:QAE131081 QJZ131081:QKA131081 QTV131081:QTW131081 RDR131081:RDS131081 RNN131081:RNO131081 RXJ131081:RXK131081 SHF131081:SHG131081 SRB131081:SRC131081 TAX131081:TAY131081 TKT131081:TKU131081 TUP131081:TUQ131081 UEL131081:UEM131081 UOH131081:UOI131081 UYD131081:UYE131081 VHZ131081:VIA131081 VRV131081:VRW131081 WBR131081:WBS131081 WLN131081:WLO131081 WVJ131081:WVK131081 B196617:C196617 IX196617:IY196617 ST196617:SU196617 ACP196617:ACQ196617 AML196617:AMM196617 AWH196617:AWI196617 BGD196617:BGE196617 BPZ196617:BQA196617 BZV196617:BZW196617 CJR196617:CJS196617 CTN196617:CTO196617 DDJ196617:DDK196617 DNF196617:DNG196617 DXB196617:DXC196617 EGX196617:EGY196617 EQT196617:EQU196617 FAP196617:FAQ196617 FKL196617:FKM196617 FUH196617:FUI196617 GED196617:GEE196617 GNZ196617:GOA196617 GXV196617:GXW196617 HHR196617:HHS196617 HRN196617:HRO196617 IBJ196617:IBK196617 ILF196617:ILG196617 IVB196617:IVC196617 JEX196617:JEY196617 JOT196617:JOU196617 JYP196617:JYQ196617 KIL196617:KIM196617 KSH196617:KSI196617 LCD196617:LCE196617 LLZ196617:LMA196617 LVV196617:LVW196617 MFR196617:MFS196617 MPN196617:MPO196617 MZJ196617:MZK196617 NJF196617:NJG196617 NTB196617:NTC196617 OCX196617:OCY196617 OMT196617:OMU196617 OWP196617:OWQ196617 PGL196617:PGM196617 PQH196617:PQI196617 QAD196617:QAE196617 QJZ196617:QKA196617 QTV196617:QTW196617 RDR196617:RDS196617 RNN196617:RNO196617 RXJ196617:RXK196617 SHF196617:SHG196617 SRB196617:SRC196617 TAX196617:TAY196617 TKT196617:TKU196617 TUP196617:TUQ196617 UEL196617:UEM196617 UOH196617:UOI196617 UYD196617:UYE196617 VHZ196617:VIA196617 VRV196617:VRW196617 WBR196617:WBS196617 WLN196617:WLO196617 WVJ196617:WVK196617 B262153:C262153 IX262153:IY262153 ST262153:SU262153 ACP262153:ACQ262153 AML262153:AMM262153 AWH262153:AWI262153 BGD262153:BGE262153 BPZ262153:BQA262153 BZV262153:BZW262153 CJR262153:CJS262153 CTN262153:CTO262153 DDJ262153:DDK262153 DNF262153:DNG262153 DXB262153:DXC262153 EGX262153:EGY262153 EQT262153:EQU262153 FAP262153:FAQ262153 FKL262153:FKM262153 FUH262153:FUI262153 GED262153:GEE262153 GNZ262153:GOA262153 GXV262153:GXW262153 HHR262153:HHS262153 HRN262153:HRO262153 IBJ262153:IBK262153 ILF262153:ILG262153 IVB262153:IVC262153 JEX262153:JEY262153 JOT262153:JOU262153 JYP262153:JYQ262153 KIL262153:KIM262153 KSH262153:KSI262153 LCD262153:LCE262153 LLZ262153:LMA262153 LVV262153:LVW262153 MFR262153:MFS262153 MPN262153:MPO262153 MZJ262153:MZK262153 NJF262153:NJG262153 NTB262153:NTC262153 OCX262153:OCY262153 OMT262153:OMU262153 OWP262153:OWQ262153 PGL262153:PGM262153 PQH262153:PQI262153 QAD262153:QAE262153 QJZ262153:QKA262153 QTV262153:QTW262153 RDR262153:RDS262153 RNN262153:RNO262153 RXJ262153:RXK262153 SHF262153:SHG262153 SRB262153:SRC262153 TAX262153:TAY262153 TKT262153:TKU262153 TUP262153:TUQ262153 UEL262153:UEM262153 UOH262153:UOI262153 UYD262153:UYE262153 VHZ262153:VIA262153 VRV262153:VRW262153 WBR262153:WBS262153 WLN262153:WLO262153 WVJ262153:WVK262153 B327689:C327689 IX327689:IY327689 ST327689:SU327689 ACP327689:ACQ327689 AML327689:AMM327689 AWH327689:AWI327689 BGD327689:BGE327689 BPZ327689:BQA327689 BZV327689:BZW327689 CJR327689:CJS327689 CTN327689:CTO327689 DDJ327689:DDK327689 DNF327689:DNG327689 DXB327689:DXC327689 EGX327689:EGY327689 EQT327689:EQU327689 FAP327689:FAQ327689 FKL327689:FKM327689 FUH327689:FUI327689 GED327689:GEE327689 GNZ327689:GOA327689 GXV327689:GXW327689 HHR327689:HHS327689 HRN327689:HRO327689 IBJ327689:IBK327689 ILF327689:ILG327689 IVB327689:IVC327689 JEX327689:JEY327689 JOT327689:JOU327689 JYP327689:JYQ327689 KIL327689:KIM327689 KSH327689:KSI327689 LCD327689:LCE327689 LLZ327689:LMA327689 LVV327689:LVW327689 MFR327689:MFS327689 MPN327689:MPO327689 MZJ327689:MZK327689 NJF327689:NJG327689 NTB327689:NTC327689 OCX327689:OCY327689 OMT327689:OMU327689 OWP327689:OWQ327689 PGL327689:PGM327689 PQH327689:PQI327689 QAD327689:QAE327689 QJZ327689:QKA327689 QTV327689:QTW327689 RDR327689:RDS327689 RNN327689:RNO327689 RXJ327689:RXK327689 SHF327689:SHG327689 SRB327689:SRC327689 TAX327689:TAY327689 TKT327689:TKU327689 TUP327689:TUQ327689 UEL327689:UEM327689 UOH327689:UOI327689 UYD327689:UYE327689 VHZ327689:VIA327689 VRV327689:VRW327689 WBR327689:WBS327689 WLN327689:WLO327689 WVJ327689:WVK327689 B393225:C393225 IX393225:IY393225 ST393225:SU393225 ACP393225:ACQ393225 AML393225:AMM393225 AWH393225:AWI393225 BGD393225:BGE393225 BPZ393225:BQA393225 BZV393225:BZW393225 CJR393225:CJS393225 CTN393225:CTO393225 DDJ393225:DDK393225 DNF393225:DNG393225 DXB393225:DXC393225 EGX393225:EGY393225 EQT393225:EQU393225 FAP393225:FAQ393225 FKL393225:FKM393225 FUH393225:FUI393225 GED393225:GEE393225 GNZ393225:GOA393225 GXV393225:GXW393225 HHR393225:HHS393225 HRN393225:HRO393225 IBJ393225:IBK393225 ILF393225:ILG393225 IVB393225:IVC393225 JEX393225:JEY393225 JOT393225:JOU393225 JYP393225:JYQ393225 KIL393225:KIM393225 KSH393225:KSI393225 LCD393225:LCE393225 LLZ393225:LMA393225 LVV393225:LVW393225 MFR393225:MFS393225 MPN393225:MPO393225 MZJ393225:MZK393225 NJF393225:NJG393225 NTB393225:NTC393225 OCX393225:OCY393225 OMT393225:OMU393225 OWP393225:OWQ393225 PGL393225:PGM393225 PQH393225:PQI393225 QAD393225:QAE393225 QJZ393225:QKA393225 QTV393225:QTW393225 RDR393225:RDS393225 RNN393225:RNO393225 RXJ393225:RXK393225 SHF393225:SHG393225 SRB393225:SRC393225 TAX393225:TAY393225 TKT393225:TKU393225 TUP393225:TUQ393225 UEL393225:UEM393225 UOH393225:UOI393225 UYD393225:UYE393225 VHZ393225:VIA393225 VRV393225:VRW393225 WBR393225:WBS393225 WLN393225:WLO393225 WVJ393225:WVK393225 B458761:C458761 IX458761:IY458761 ST458761:SU458761 ACP458761:ACQ458761 AML458761:AMM458761 AWH458761:AWI458761 BGD458761:BGE458761 BPZ458761:BQA458761 BZV458761:BZW458761 CJR458761:CJS458761 CTN458761:CTO458761 DDJ458761:DDK458761 DNF458761:DNG458761 DXB458761:DXC458761 EGX458761:EGY458761 EQT458761:EQU458761 FAP458761:FAQ458761 FKL458761:FKM458761 FUH458761:FUI458761 GED458761:GEE458761 GNZ458761:GOA458761 GXV458761:GXW458761 HHR458761:HHS458761 HRN458761:HRO458761 IBJ458761:IBK458761 ILF458761:ILG458761 IVB458761:IVC458761 JEX458761:JEY458761 JOT458761:JOU458761 JYP458761:JYQ458761 KIL458761:KIM458761 KSH458761:KSI458761 LCD458761:LCE458761 LLZ458761:LMA458761 LVV458761:LVW458761 MFR458761:MFS458761 MPN458761:MPO458761 MZJ458761:MZK458761 NJF458761:NJG458761 NTB458761:NTC458761 OCX458761:OCY458761 OMT458761:OMU458761 OWP458761:OWQ458761 PGL458761:PGM458761 PQH458761:PQI458761 QAD458761:QAE458761 QJZ458761:QKA458761 QTV458761:QTW458761 RDR458761:RDS458761 RNN458761:RNO458761 RXJ458761:RXK458761 SHF458761:SHG458761 SRB458761:SRC458761 TAX458761:TAY458761 TKT458761:TKU458761 TUP458761:TUQ458761 UEL458761:UEM458761 UOH458761:UOI458761 UYD458761:UYE458761 VHZ458761:VIA458761 VRV458761:VRW458761 WBR458761:WBS458761 WLN458761:WLO458761 WVJ458761:WVK458761 B524297:C524297 IX524297:IY524297 ST524297:SU524297 ACP524297:ACQ524297 AML524297:AMM524297 AWH524297:AWI524297 BGD524297:BGE524297 BPZ524297:BQA524297 BZV524297:BZW524297 CJR524297:CJS524297 CTN524297:CTO524297 DDJ524297:DDK524297 DNF524297:DNG524297 DXB524297:DXC524297 EGX524297:EGY524297 EQT524297:EQU524297 FAP524297:FAQ524297 FKL524297:FKM524297 FUH524297:FUI524297 GED524297:GEE524297 GNZ524297:GOA524297 GXV524297:GXW524297 HHR524297:HHS524297 HRN524297:HRO524297 IBJ524297:IBK524297 ILF524297:ILG524297 IVB524297:IVC524297 JEX524297:JEY524297 JOT524297:JOU524297 JYP524297:JYQ524297 KIL524297:KIM524297 KSH524297:KSI524297 LCD524297:LCE524297 LLZ524297:LMA524297 LVV524297:LVW524297 MFR524297:MFS524297 MPN524297:MPO524297 MZJ524297:MZK524297 NJF524297:NJG524297 NTB524297:NTC524297 OCX524297:OCY524297 OMT524297:OMU524297 OWP524297:OWQ524297 PGL524297:PGM524297 PQH524297:PQI524297 QAD524297:QAE524297 QJZ524297:QKA524297 QTV524297:QTW524297 RDR524297:RDS524297 RNN524297:RNO524297 RXJ524297:RXK524297 SHF524297:SHG524297 SRB524297:SRC524297 TAX524297:TAY524297 TKT524297:TKU524297 TUP524297:TUQ524297 UEL524297:UEM524297 UOH524297:UOI524297 UYD524297:UYE524297 VHZ524297:VIA524297 VRV524297:VRW524297 WBR524297:WBS524297 WLN524297:WLO524297 WVJ524297:WVK524297 B589833:C589833 IX589833:IY589833 ST589833:SU589833 ACP589833:ACQ589833 AML589833:AMM589833 AWH589833:AWI589833 BGD589833:BGE589833 BPZ589833:BQA589833 BZV589833:BZW589833 CJR589833:CJS589833 CTN589833:CTO589833 DDJ589833:DDK589833 DNF589833:DNG589833 DXB589833:DXC589833 EGX589833:EGY589833 EQT589833:EQU589833 FAP589833:FAQ589833 FKL589833:FKM589833 FUH589833:FUI589833 GED589833:GEE589833 GNZ589833:GOA589833 GXV589833:GXW589833 HHR589833:HHS589833 HRN589833:HRO589833 IBJ589833:IBK589833 ILF589833:ILG589833 IVB589833:IVC589833 JEX589833:JEY589833 JOT589833:JOU589833 JYP589833:JYQ589833 KIL589833:KIM589833 KSH589833:KSI589833 LCD589833:LCE589833 LLZ589833:LMA589833 LVV589833:LVW589833 MFR589833:MFS589833 MPN589833:MPO589833 MZJ589833:MZK589833 NJF589833:NJG589833 NTB589833:NTC589833 OCX589833:OCY589833 OMT589833:OMU589833 OWP589833:OWQ589833 PGL589833:PGM589833 PQH589833:PQI589833 QAD589833:QAE589833 QJZ589833:QKA589833 QTV589833:QTW589833 RDR589833:RDS589833 RNN589833:RNO589833 RXJ589833:RXK589833 SHF589833:SHG589833 SRB589833:SRC589833 TAX589833:TAY589833 TKT589833:TKU589833 TUP589833:TUQ589833 UEL589833:UEM589833 UOH589833:UOI589833 UYD589833:UYE589833 VHZ589833:VIA589833 VRV589833:VRW589833 WBR589833:WBS589833 WLN589833:WLO589833 WVJ589833:WVK589833 B655369:C655369 IX655369:IY655369 ST655369:SU655369 ACP655369:ACQ655369 AML655369:AMM655369 AWH655369:AWI655369 BGD655369:BGE655369 BPZ655369:BQA655369 BZV655369:BZW655369 CJR655369:CJS655369 CTN655369:CTO655369 DDJ655369:DDK655369 DNF655369:DNG655369 DXB655369:DXC655369 EGX655369:EGY655369 EQT655369:EQU655369 FAP655369:FAQ655369 FKL655369:FKM655369 FUH655369:FUI655369 GED655369:GEE655369 GNZ655369:GOA655369 GXV655369:GXW655369 HHR655369:HHS655369 HRN655369:HRO655369 IBJ655369:IBK655369 ILF655369:ILG655369 IVB655369:IVC655369 JEX655369:JEY655369 JOT655369:JOU655369 JYP655369:JYQ655369 KIL655369:KIM655369 KSH655369:KSI655369 LCD655369:LCE655369 LLZ655369:LMA655369 LVV655369:LVW655369 MFR655369:MFS655369 MPN655369:MPO655369 MZJ655369:MZK655369 NJF655369:NJG655369 NTB655369:NTC655369 OCX655369:OCY655369 OMT655369:OMU655369 OWP655369:OWQ655369 PGL655369:PGM655369 PQH655369:PQI655369 QAD655369:QAE655369 QJZ655369:QKA655369 QTV655369:QTW655369 RDR655369:RDS655369 RNN655369:RNO655369 RXJ655369:RXK655369 SHF655369:SHG655369 SRB655369:SRC655369 TAX655369:TAY655369 TKT655369:TKU655369 TUP655369:TUQ655369 UEL655369:UEM655369 UOH655369:UOI655369 UYD655369:UYE655369 VHZ655369:VIA655369 VRV655369:VRW655369 WBR655369:WBS655369 WLN655369:WLO655369 WVJ655369:WVK655369 B720905:C720905 IX720905:IY720905 ST720905:SU720905 ACP720905:ACQ720905 AML720905:AMM720905 AWH720905:AWI720905 BGD720905:BGE720905 BPZ720905:BQA720905 BZV720905:BZW720905 CJR720905:CJS720905 CTN720905:CTO720905 DDJ720905:DDK720905 DNF720905:DNG720905 DXB720905:DXC720905 EGX720905:EGY720905 EQT720905:EQU720905 FAP720905:FAQ720905 FKL720905:FKM720905 FUH720905:FUI720905 GED720905:GEE720905 GNZ720905:GOA720905 GXV720905:GXW720905 HHR720905:HHS720905 HRN720905:HRO720905 IBJ720905:IBK720905 ILF720905:ILG720905 IVB720905:IVC720905 JEX720905:JEY720905 JOT720905:JOU720905 JYP720905:JYQ720905 KIL720905:KIM720905 KSH720905:KSI720905 LCD720905:LCE720905 LLZ720905:LMA720905 LVV720905:LVW720905 MFR720905:MFS720905 MPN720905:MPO720905 MZJ720905:MZK720905 NJF720905:NJG720905 NTB720905:NTC720905 OCX720905:OCY720905 OMT720905:OMU720905 OWP720905:OWQ720905 PGL720905:PGM720905 PQH720905:PQI720905 QAD720905:QAE720905 QJZ720905:QKA720905 QTV720905:QTW720905 RDR720905:RDS720905 RNN720905:RNO720905 RXJ720905:RXK720905 SHF720905:SHG720905 SRB720905:SRC720905 TAX720905:TAY720905 TKT720905:TKU720905 TUP720905:TUQ720905 UEL720905:UEM720905 UOH720905:UOI720905 UYD720905:UYE720905 VHZ720905:VIA720905 VRV720905:VRW720905 WBR720905:WBS720905 WLN720905:WLO720905 WVJ720905:WVK720905 B786441:C786441 IX786441:IY786441 ST786441:SU786441 ACP786441:ACQ786441 AML786441:AMM786441 AWH786441:AWI786441 BGD786441:BGE786441 BPZ786441:BQA786441 BZV786441:BZW786441 CJR786441:CJS786441 CTN786441:CTO786441 DDJ786441:DDK786441 DNF786441:DNG786441 DXB786441:DXC786441 EGX786441:EGY786441 EQT786441:EQU786441 FAP786441:FAQ786441 FKL786441:FKM786441 FUH786441:FUI786441 GED786441:GEE786441 GNZ786441:GOA786441 GXV786441:GXW786441 HHR786441:HHS786441 HRN786441:HRO786441 IBJ786441:IBK786441 ILF786441:ILG786441 IVB786441:IVC786441 JEX786441:JEY786441 JOT786441:JOU786441 JYP786441:JYQ786441 KIL786441:KIM786441 KSH786441:KSI786441 LCD786441:LCE786441 LLZ786441:LMA786441 LVV786441:LVW786441 MFR786441:MFS786441 MPN786441:MPO786441 MZJ786441:MZK786441 NJF786441:NJG786441 NTB786441:NTC786441 OCX786441:OCY786441 OMT786441:OMU786441 OWP786441:OWQ786441 PGL786441:PGM786441 PQH786441:PQI786441 QAD786441:QAE786441 QJZ786441:QKA786441 QTV786441:QTW786441 RDR786441:RDS786441 RNN786441:RNO786441 RXJ786441:RXK786441 SHF786441:SHG786441 SRB786441:SRC786441 TAX786441:TAY786441 TKT786441:TKU786441 TUP786441:TUQ786441 UEL786441:UEM786441 UOH786441:UOI786441 UYD786441:UYE786441 VHZ786441:VIA786441 VRV786441:VRW786441 WBR786441:WBS786441 WLN786441:WLO786441 WVJ786441:WVK786441 B851977:C851977 IX851977:IY851977 ST851977:SU851977 ACP851977:ACQ851977 AML851977:AMM851977 AWH851977:AWI851977 BGD851977:BGE851977 BPZ851977:BQA851977 BZV851977:BZW851977 CJR851977:CJS851977 CTN851977:CTO851977 DDJ851977:DDK851977 DNF851977:DNG851977 DXB851977:DXC851977 EGX851977:EGY851977 EQT851977:EQU851977 FAP851977:FAQ851977 FKL851977:FKM851977 FUH851977:FUI851977 GED851977:GEE851977 GNZ851977:GOA851977 GXV851977:GXW851977 HHR851977:HHS851977 HRN851977:HRO851977 IBJ851977:IBK851977 ILF851977:ILG851977 IVB851977:IVC851977 JEX851977:JEY851977 JOT851977:JOU851977 JYP851977:JYQ851977 KIL851977:KIM851977 KSH851977:KSI851977 LCD851977:LCE851977 LLZ851977:LMA851977 LVV851977:LVW851977 MFR851977:MFS851977 MPN851977:MPO851977 MZJ851977:MZK851977 NJF851977:NJG851977 NTB851977:NTC851977 OCX851977:OCY851977 OMT851977:OMU851977 OWP851977:OWQ851977 PGL851977:PGM851977 PQH851977:PQI851977 QAD851977:QAE851977 QJZ851977:QKA851977 QTV851977:QTW851977 RDR851977:RDS851977 RNN851977:RNO851977 RXJ851977:RXK851977 SHF851977:SHG851977 SRB851977:SRC851977 TAX851977:TAY851977 TKT851977:TKU851977 TUP851977:TUQ851977 UEL851977:UEM851977 UOH851977:UOI851977 UYD851977:UYE851977 VHZ851977:VIA851977 VRV851977:VRW851977 WBR851977:WBS851977 WLN851977:WLO851977 WVJ851977:WVK851977 B917513:C917513 IX917513:IY917513 ST917513:SU917513 ACP917513:ACQ917513 AML917513:AMM917513 AWH917513:AWI917513 BGD917513:BGE917513 BPZ917513:BQA917513 BZV917513:BZW917513 CJR917513:CJS917513 CTN917513:CTO917513 DDJ917513:DDK917513 DNF917513:DNG917513 DXB917513:DXC917513 EGX917513:EGY917513 EQT917513:EQU917513 FAP917513:FAQ917513 FKL917513:FKM917513 FUH917513:FUI917513 GED917513:GEE917513 GNZ917513:GOA917513 GXV917513:GXW917513 HHR917513:HHS917513 HRN917513:HRO917513 IBJ917513:IBK917513 ILF917513:ILG917513 IVB917513:IVC917513 JEX917513:JEY917513 JOT917513:JOU917513 JYP917513:JYQ917513 KIL917513:KIM917513 KSH917513:KSI917513 LCD917513:LCE917513 LLZ917513:LMA917513 LVV917513:LVW917513 MFR917513:MFS917513 MPN917513:MPO917513 MZJ917513:MZK917513 NJF917513:NJG917513 NTB917513:NTC917513 OCX917513:OCY917513 OMT917513:OMU917513 OWP917513:OWQ917513 PGL917513:PGM917513 PQH917513:PQI917513 QAD917513:QAE917513 QJZ917513:QKA917513 QTV917513:QTW917513 RDR917513:RDS917513 RNN917513:RNO917513 RXJ917513:RXK917513 SHF917513:SHG917513 SRB917513:SRC917513 TAX917513:TAY917513 TKT917513:TKU917513 TUP917513:TUQ917513 UEL917513:UEM917513 UOH917513:UOI917513 UYD917513:UYE917513 VHZ917513:VIA917513 VRV917513:VRW917513 WBR917513:WBS917513 WLN917513:WLO917513 WVJ917513:WVK917513 B983049:C983049 IX983049:IY983049 ST983049:SU983049 ACP983049:ACQ983049 AML983049:AMM983049 AWH983049:AWI983049 BGD983049:BGE983049 BPZ983049:BQA983049 BZV983049:BZW983049 CJR983049:CJS983049 CTN983049:CTO983049 DDJ983049:DDK983049 DNF983049:DNG983049 DXB983049:DXC983049 EGX983049:EGY983049 EQT983049:EQU983049 FAP983049:FAQ983049 FKL983049:FKM983049 FUH983049:FUI983049 GED983049:GEE983049 GNZ983049:GOA983049 GXV983049:GXW983049 HHR983049:HHS983049 HRN983049:HRO983049 IBJ983049:IBK983049 ILF983049:ILG983049 IVB983049:IVC983049 JEX983049:JEY983049 JOT983049:JOU983049 JYP983049:JYQ983049 KIL983049:KIM983049 KSH983049:KSI983049 LCD983049:LCE983049 LLZ983049:LMA983049 LVV983049:LVW983049 MFR983049:MFS983049 MPN983049:MPO983049 MZJ983049:MZK983049 NJF983049:NJG983049 NTB983049:NTC983049 OCX983049:OCY983049 OMT983049:OMU983049 OWP983049:OWQ983049 PGL983049:PGM983049 PQH983049:PQI983049 QAD983049:QAE983049 QJZ983049:QKA983049 QTV983049:QTW983049 RDR983049:RDS983049 RNN983049:RNO983049 RXJ983049:RXK983049 SHF983049:SHG983049 SRB983049:SRC983049 TAX983049:TAY983049 TKT983049:TKU983049 TUP983049:TUQ983049 UEL983049:UEM983049 UOH983049:UOI983049 UYD983049:UYE983049 VHZ983049:VIA983049 VRV983049:VRW983049 WBR983049:WBS983049 WLN983049:WLO983049 WVJ983049:WVK983049">
      <formula1>$L$4:$L$7</formula1>
    </dataValidation>
    <dataValidation type="list" allowBlank="1" showInputMessage="1" showErrorMessage="1" errorTitle="Error message" error="Type not valid!" sqref="B9:C9 IX9:IY9 ST9:SU9 ACP9:ACQ9 AML9:AMM9 AWH9:AWI9 BGD9:BGE9 BPZ9:BQA9 BZV9:BZW9 CJR9:CJS9 CTN9:CTO9 DDJ9:DDK9 DNF9:DNG9 DXB9:DXC9 EGX9:EGY9 EQT9:EQU9 FAP9:FAQ9 FKL9:FKM9 FUH9:FUI9 GED9:GEE9 GNZ9:GOA9 GXV9:GXW9 HHR9:HHS9 HRN9:HRO9 IBJ9:IBK9 ILF9:ILG9 IVB9:IVC9 JEX9:JEY9 JOT9:JOU9 JYP9:JYQ9 KIL9:KIM9 KSH9:KSI9 LCD9:LCE9 LLZ9:LMA9 LVV9:LVW9 MFR9:MFS9 MPN9:MPO9 MZJ9:MZK9 NJF9:NJG9 NTB9:NTC9 OCX9:OCY9 OMT9:OMU9 OWP9:OWQ9 PGL9:PGM9 PQH9:PQI9 QAD9:QAE9 QJZ9:QKA9 QTV9:QTW9 RDR9:RDS9 RNN9:RNO9 RXJ9:RXK9 SHF9:SHG9 SRB9:SRC9 TAX9:TAY9 TKT9:TKU9 TUP9:TUQ9 UEL9:UEM9 UOH9:UOI9 UYD9:UYE9 VHZ9:VIA9 VRV9:VRW9 WBR9:WBS9 WLN9:WLO9 WVJ9:WVK9 B65541:C65541 IX65541:IY65541 ST65541:SU65541 ACP65541:ACQ65541 AML65541:AMM65541 AWH65541:AWI65541 BGD65541:BGE65541 BPZ65541:BQA65541 BZV65541:BZW65541 CJR65541:CJS65541 CTN65541:CTO65541 DDJ65541:DDK65541 DNF65541:DNG65541 DXB65541:DXC65541 EGX65541:EGY65541 EQT65541:EQU65541 FAP65541:FAQ65541 FKL65541:FKM65541 FUH65541:FUI65541 GED65541:GEE65541 GNZ65541:GOA65541 GXV65541:GXW65541 HHR65541:HHS65541 HRN65541:HRO65541 IBJ65541:IBK65541 ILF65541:ILG65541 IVB65541:IVC65541 JEX65541:JEY65541 JOT65541:JOU65541 JYP65541:JYQ65541 KIL65541:KIM65541 KSH65541:KSI65541 LCD65541:LCE65541 LLZ65541:LMA65541 LVV65541:LVW65541 MFR65541:MFS65541 MPN65541:MPO65541 MZJ65541:MZK65541 NJF65541:NJG65541 NTB65541:NTC65541 OCX65541:OCY65541 OMT65541:OMU65541 OWP65541:OWQ65541 PGL65541:PGM65541 PQH65541:PQI65541 QAD65541:QAE65541 QJZ65541:QKA65541 QTV65541:QTW65541 RDR65541:RDS65541 RNN65541:RNO65541 RXJ65541:RXK65541 SHF65541:SHG65541 SRB65541:SRC65541 TAX65541:TAY65541 TKT65541:TKU65541 TUP65541:TUQ65541 UEL65541:UEM65541 UOH65541:UOI65541 UYD65541:UYE65541 VHZ65541:VIA65541 VRV65541:VRW65541 WBR65541:WBS65541 WLN65541:WLO65541 WVJ65541:WVK65541 B131077:C131077 IX131077:IY131077 ST131077:SU131077 ACP131077:ACQ131077 AML131077:AMM131077 AWH131077:AWI131077 BGD131077:BGE131077 BPZ131077:BQA131077 BZV131077:BZW131077 CJR131077:CJS131077 CTN131077:CTO131077 DDJ131077:DDK131077 DNF131077:DNG131077 DXB131077:DXC131077 EGX131077:EGY131077 EQT131077:EQU131077 FAP131077:FAQ131077 FKL131077:FKM131077 FUH131077:FUI131077 GED131077:GEE131077 GNZ131077:GOA131077 GXV131077:GXW131077 HHR131077:HHS131077 HRN131077:HRO131077 IBJ131077:IBK131077 ILF131077:ILG131077 IVB131077:IVC131077 JEX131077:JEY131077 JOT131077:JOU131077 JYP131077:JYQ131077 KIL131077:KIM131077 KSH131077:KSI131077 LCD131077:LCE131077 LLZ131077:LMA131077 LVV131077:LVW131077 MFR131077:MFS131077 MPN131077:MPO131077 MZJ131077:MZK131077 NJF131077:NJG131077 NTB131077:NTC131077 OCX131077:OCY131077 OMT131077:OMU131077 OWP131077:OWQ131077 PGL131077:PGM131077 PQH131077:PQI131077 QAD131077:QAE131077 QJZ131077:QKA131077 QTV131077:QTW131077 RDR131077:RDS131077 RNN131077:RNO131077 RXJ131077:RXK131077 SHF131077:SHG131077 SRB131077:SRC131077 TAX131077:TAY131077 TKT131077:TKU131077 TUP131077:TUQ131077 UEL131077:UEM131077 UOH131077:UOI131077 UYD131077:UYE131077 VHZ131077:VIA131077 VRV131077:VRW131077 WBR131077:WBS131077 WLN131077:WLO131077 WVJ131077:WVK131077 B196613:C196613 IX196613:IY196613 ST196613:SU196613 ACP196613:ACQ196613 AML196613:AMM196613 AWH196613:AWI196613 BGD196613:BGE196613 BPZ196613:BQA196613 BZV196613:BZW196613 CJR196613:CJS196613 CTN196613:CTO196613 DDJ196613:DDK196613 DNF196613:DNG196613 DXB196613:DXC196613 EGX196613:EGY196613 EQT196613:EQU196613 FAP196613:FAQ196613 FKL196613:FKM196613 FUH196613:FUI196613 GED196613:GEE196613 GNZ196613:GOA196613 GXV196613:GXW196613 HHR196613:HHS196613 HRN196613:HRO196613 IBJ196613:IBK196613 ILF196613:ILG196613 IVB196613:IVC196613 JEX196613:JEY196613 JOT196613:JOU196613 JYP196613:JYQ196613 KIL196613:KIM196613 KSH196613:KSI196613 LCD196613:LCE196613 LLZ196613:LMA196613 LVV196613:LVW196613 MFR196613:MFS196613 MPN196613:MPO196613 MZJ196613:MZK196613 NJF196613:NJG196613 NTB196613:NTC196613 OCX196613:OCY196613 OMT196613:OMU196613 OWP196613:OWQ196613 PGL196613:PGM196613 PQH196613:PQI196613 QAD196613:QAE196613 QJZ196613:QKA196613 QTV196613:QTW196613 RDR196613:RDS196613 RNN196613:RNO196613 RXJ196613:RXK196613 SHF196613:SHG196613 SRB196613:SRC196613 TAX196613:TAY196613 TKT196613:TKU196613 TUP196613:TUQ196613 UEL196613:UEM196613 UOH196613:UOI196613 UYD196613:UYE196613 VHZ196613:VIA196613 VRV196613:VRW196613 WBR196613:WBS196613 WLN196613:WLO196613 WVJ196613:WVK196613 B262149:C262149 IX262149:IY262149 ST262149:SU262149 ACP262149:ACQ262149 AML262149:AMM262149 AWH262149:AWI262149 BGD262149:BGE262149 BPZ262149:BQA262149 BZV262149:BZW262149 CJR262149:CJS262149 CTN262149:CTO262149 DDJ262149:DDK262149 DNF262149:DNG262149 DXB262149:DXC262149 EGX262149:EGY262149 EQT262149:EQU262149 FAP262149:FAQ262149 FKL262149:FKM262149 FUH262149:FUI262149 GED262149:GEE262149 GNZ262149:GOA262149 GXV262149:GXW262149 HHR262149:HHS262149 HRN262149:HRO262149 IBJ262149:IBK262149 ILF262149:ILG262149 IVB262149:IVC262149 JEX262149:JEY262149 JOT262149:JOU262149 JYP262149:JYQ262149 KIL262149:KIM262149 KSH262149:KSI262149 LCD262149:LCE262149 LLZ262149:LMA262149 LVV262149:LVW262149 MFR262149:MFS262149 MPN262149:MPO262149 MZJ262149:MZK262149 NJF262149:NJG262149 NTB262149:NTC262149 OCX262149:OCY262149 OMT262149:OMU262149 OWP262149:OWQ262149 PGL262149:PGM262149 PQH262149:PQI262149 QAD262149:QAE262149 QJZ262149:QKA262149 QTV262149:QTW262149 RDR262149:RDS262149 RNN262149:RNO262149 RXJ262149:RXK262149 SHF262149:SHG262149 SRB262149:SRC262149 TAX262149:TAY262149 TKT262149:TKU262149 TUP262149:TUQ262149 UEL262149:UEM262149 UOH262149:UOI262149 UYD262149:UYE262149 VHZ262149:VIA262149 VRV262149:VRW262149 WBR262149:WBS262149 WLN262149:WLO262149 WVJ262149:WVK262149 B327685:C327685 IX327685:IY327685 ST327685:SU327685 ACP327685:ACQ327685 AML327685:AMM327685 AWH327685:AWI327685 BGD327685:BGE327685 BPZ327685:BQA327685 BZV327685:BZW327685 CJR327685:CJS327685 CTN327685:CTO327685 DDJ327685:DDK327685 DNF327685:DNG327685 DXB327685:DXC327685 EGX327685:EGY327685 EQT327685:EQU327685 FAP327685:FAQ327685 FKL327685:FKM327685 FUH327685:FUI327685 GED327685:GEE327685 GNZ327685:GOA327685 GXV327685:GXW327685 HHR327685:HHS327685 HRN327685:HRO327685 IBJ327685:IBK327685 ILF327685:ILG327685 IVB327685:IVC327685 JEX327685:JEY327685 JOT327685:JOU327685 JYP327685:JYQ327685 KIL327685:KIM327685 KSH327685:KSI327685 LCD327685:LCE327685 LLZ327685:LMA327685 LVV327685:LVW327685 MFR327685:MFS327685 MPN327685:MPO327685 MZJ327685:MZK327685 NJF327685:NJG327685 NTB327685:NTC327685 OCX327685:OCY327685 OMT327685:OMU327685 OWP327685:OWQ327685 PGL327685:PGM327685 PQH327685:PQI327685 QAD327685:QAE327685 QJZ327685:QKA327685 QTV327685:QTW327685 RDR327685:RDS327685 RNN327685:RNO327685 RXJ327685:RXK327685 SHF327685:SHG327685 SRB327685:SRC327685 TAX327685:TAY327685 TKT327685:TKU327685 TUP327685:TUQ327685 UEL327685:UEM327685 UOH327685:UOI327685 UYD327685:UYE327685 VHZ327685:VIA327685 VRV327685:VRW327685 WBR327685:WBS327685 WLN327685:WLO327685 WVJ327685:WVK327685 B393221:C393221 IX393221:IY393221 ST393221:SU393221 ACP393221:ACQ393221 AML393221:AMM393221 AWH393221:AWI393221 BGD393221:BGE393221 BPZ393221:BQA393221 BZV393221:BZW393221 CJR393221:CJS393221 CTN393221:CTO393221 DDJ393221:DDK393221 DNF393221:DNG393221 DXB393221:DXC393221 EGX393221:EGY393221 EQT393221:EQU393221 FAP393221:FAQ393221 FKL393221:FKM393221 FUH393221:FUI393221 GED393221:GEE393221 GNZ393221:GOA393221 GXV393221:GXW393221 HHR393221:HHS393221 HRN393221:HRO393221 IBJ393221:IBK393221 ILF393221:ILG393221 IVB393221:IVC393221 JEX393221:JEY393221 JOT393221:JOU393221 JYP393221:JYQ393221 KIL393221:KIM393221 KSH393221:KSI393221 LCD393221:LCE393221 LLZ393221:LMA393221 LVV393221:LVW393221 MFR393221:MFS393221 MPN393221:MPO393221 MZJ393221:MZK393221 NJF393221:NJG393221 NTB393221:NTC393221 OCX393221:OCY393221 OMT393221:OMU393221 OWP393221:OWQ393221 PGL393221:PGM393221 PQH393221:PQI393221 QAD393221:QAE393221 QJZ393221:QKA393221 QTV393221:QTW393221 RDR393221:RDS393221 RNN393221:RNO393221 RXJ393221:RXK393221 SHF393221:SHG393221 SRB393221:SRC393221 TAX393221:TAY393221 TKT393221:TKU393221 TUP393221:TUQ393221 UEL393221:UEM393221 UOH393221:UOI393221 UYD393221:UYE393221 VHZ393221:VIA393221 VRV393221:VRW393221 WBR393221:WBS393221 WLN393221:WLO393221 WVJ393221:WVK393221 B458757:C458757 IX458757:IY458757 ST458757:SU458757 ACP458757:ACQ458757 AML458757:AMM458757 AWH458757:AWI458757 BGD458757:BGE458757 BPZ458757:BQA458757 BZV458757:BZW458757 CJR458757:CJS458757 CTN458757:CTO458757 DDJ458757:DDK458757 DNF458757:DNG458757 DXB458757:DXC458757 EGX458757:EGY458757 EQT458757:EQU458757 FAP458757:FAQ458757 FKL458757:FKM458757 FUH458757:FUI458757 GED458757:GEE458757 GNZ458757:GOA458757 GXV458757:GXW458757 HHR458757:HHS458757 HRN458757:HRO458757 IBJ458757:IBK458757 ILF458757:ILG458757 IVB458757:IVC458757 JEX458757:JEY458757 JOT458757:JOU458757 JYP458757:JYQ458757 KIL458757:KIM458757 KSH458757:KSI458757 LCD458757:LCE458757 LLZ458757:LMA458757 LVV458757:LVW458757 MFR458757:MFS458757 MPN458757:MPO458757 MZJ458757:MZK458757 NJF458757:NJG458757 NTB458757:NTC458757 OCX458757:OCY458757 OMT458757:OMU458757 OWP458757:OWQ458757 PGL458757:PGM458757 PQH458757:PQI458757 QAD458757:QAE458757 QJZ458757:QKA458757 QTV458757:QTW458757 RDR458757:RDS458757 RNN458757:RNO458757 RXJ458757:RXK458757 SHF458757:SHG458757 SRB458757:SRC458757 TAX458757:TAY458757 TKT458757:TKU458757 TUP458757:TUQ458757 UEL458757:UEM458757 UOH458757:UOI458757 UYD458757:UYE458757 VHZ458757:VIA458757 VRV458757:VRW458757 WBR458757:WBS458757 WLN458757:WLO458757 WVJ458757:WVK458757 B524293:C524293 IX524293:IY524293 ST524293:SU524293 ACP524293:ACQ524293 AML524293:AMM524293 AWH524293:AWI524293 BGD524293:BGE524293 BPZ524293:BQA524293 BZV524293:BZW524293 CJR524293:CJS524293 CTN524293:CTO524293 DDJ524293:DDK524293 DNF524293:DNG524293 DXB524293:DXC524293 EGX524293:EGY524293 EQT524293:EQU524293 FAP524293:FAQ524293 FKL524293:FKM524293 FUH524293:FUI524293 GED524293:GEE524293 GNZ524293:GOA524293 GXV524293:GXW524293 HHR524293:HHS524293 HRN524293:HRO524293 IBJ524293:IBK524293 ILF524293:ILG524293 IVB524293:IVC524293 JEX524293:JEY524293 JOT524293:JOU524293 JYP524293:JYQ524293 KIL524293:KIM524293 KSH524293:KSI524293 LCD524293:LCE524293 LLZ524293:LMA524293 LVV524293:LVW524293 MFR524293:MFS524293 MPN524293:MPO524293 MZJ524293:MZK524293 NJF524293:NJG524293 NTB524293:NTC524293 OCX524293:OCY524293 OMT524293:OMU524293 OWP524293:OWQ524293 PGL524293:PGM524293 PQH524293:PQI524293 QAD524293:QAE524293 QJZ524293:QKA524293 QTV524293:QTW524293 RDR524293:RDS524293 RNN524293:RNO524293 RXJ524293:RXK524293 SHF524293:SHG524293 SRB524293:SRC524293 TAX524293:TAY524293 TKT524293:TKU524293 TUP524293:TUQ524293 UEL524293:UEM524293 UOH524293:UOI524293 UYD524293:UYE524293 VHZ524293:VIA524293 VRV524293:VRW524293 WBR524293:WBS524293 WLN524293:WLO524293 WVJ524293:WVK524293 B589829:C589829 IX589829:IY589829 ST589829:SU589829 ACP589829:ACQ589829 AML589829:AMM589829 AWH589829:AWI589829 BGD589829:BGE589829 BPZ589829:BQA589829 BZV589829:BZW589829 CJR589829:CJS589829 CTN589829:CTO589829 DDJ589829:DDK589829 DNF589829:DNG589829 DXB589829:DXC589829 EGX589829:EGY589829 EQT589829:EQU589829 FAP589829:FAQ589829 FKL589829:FKM589829 FUH589829:FUI589829 GED589829:GEE589829 GNZ589829:GOA589829 GXV589829:GXW589829 HHR589829:HHS589829 HRN589829:HRO589829 IBJ589829:IBK589829 ILF589829:ILG589829 IVB589829:IVC589829 JEX589829:JEY589829 JOT589829:JOU589829 JYP589829:JYQ589829 KIL589829:KIM589829 KSH589829:KSI589829 LCD589829:LCE589829 LLZ589829:LMA589829 LVV589829:LVW589829 MFR589829:MFS589829 MPN589829:MPO589829 MZJ589829:MZK589829 NJF589829:NJG589829 NTB589829:NTC589829 OCX589829:OCY589829 OMT589829:OMU589829 OWP589829:OWQ589829 PGL589829:PGM589829 PQH589829:PQI589829 QAD589829:QAE589829 QJZ589829:QKA589829 QTV589829:QTW589829 RDR589829:RDS589829 RNN589829:RNO589829 RXJ589829:RXK589829 SHF589829:SHG589829 SRB589829:SRC589829 TAX589829:TAY589829 TKT589829:TKU589829 TUP589829:TUQ589829 UEL589829:UEM589829 UOH589829:UOI589829 UYD589829:UYE589829 VHZ589829:VIA589829 VRV589829:VRW589829 WBR589829:WBS589829 WLN589829:WLO589829 WVJ589829:WVK589829 B655365:C655365 IX655365:IY655365 ST655365:SU655365 ACP655365:ACQ655365 AML655365:AMM655365 AWH655365:AWI655365 BGD655365:BGE655365 BPZ655365:BQA655365 BZV655365:BZW655365 CJR655365:CJS655365 CTN655365:CTO655365 DDJ655365:DDK655365 DNF655365:DNG655365 DXB655365:DXC655365 EGX655365:EGY655365 EQT655365:EQU655365 FAP655365:FAQ655365 FKL655365:FKM655365 FUH655365:FUI655365 GED655365:GEE655365 GNZ655365:GOA655365 GXV655365:GXW655365 HHR655365:HHS655365 HRN655365:HRO655365 IBJ655365:IBK655365 ILF655365:ILG655365 IVB655365:IVC655365 JEX655365:JEY655365 JOT655365:JOU655365 JYP655365:JYQ655365 KIL655365:KIM655365 KSH655365:KSI655365 LCD655365:LCE655365 LLZ655365:LMA655365 LVV655365:LVW655365 MFR655365:MFS655365 MPN655365:MPO655365 MZJ655365:MZK655365 NJF655365:NJG655365 NTB655365:NTC655365 OCX655365:OCY655365 OMT655365:OMU655365 OWP655365:OWQ655365 PGL655365:PGM655365 PQH655365:PQI655365 QAD655365:QAE655365 QJZ655365:QKA655365 QTV655365:QTW655365 RDR655365:RDS655365 RNN655365:RNO655365 RXJ655365:RXK655365 SHF655365:SHG655365 SRB655365:SRC655365 TAX655365:TAY655365 TKT655365:TKU655365 TUP655365:TUQ655365 UEL655365:UEM655365 UOH655365:UOI655365 UYD655365:UYE655365 VHZ655365:VIA655365 VRV655365:VRW655365 WBR655365:WBS655365 WLN655365:WLO655365 WVJ655365:WVK655365 B720901:C720901 IX720901:IY720901 ST720901:SU720901 ACP720901:ACQ720901 AML720901:AMM720901 AWH720901:AWI720901 BGD720901:BGE720901 BPZ720901:BQA720901 BZV720901:BZW720901 CJR720901:CJS720901 CTN720901:CTO720901 DDJ720901:DDK720901 DNF720901:DNG720901 DXB720901:DXC720901 EGX720901:EGY720901 EQT720901:EQU720901 FAP720901:FAQ720901 FKL720901:FKM720901 FUH720901:FUI720901 GED720901:GEE720901 GNZ720901:GOA720901 GXV720901:GXW720901 HHR720901:HHS720901 HRN720901:HRO720901 IBJ720901:IBK720901 ILF720901:ILG720901 IVB720901:IVC720901 JEX720901:JEY720901 JOT720901:JOU720901 JYP720901:JYQ720901 KIL720901:KIM720901 KSH720901:KSI720901 LCD720901:LCE720901 LLZ720901:LMA720901 LVV720901:LVW720901 MFR720901:MFS720901 MPN720901:MPO720901 MZJ720901:MZK720901 NJF720901:NJG720901 NTB720901:NTC720901 OCX720901:OCY720901 OMT720901:OMU720901 OWP720901:OWQ720901 PGL720901:PGM720901 PQH720901:PQI720901 QAD720901:QAE720901 QJZ720901:QKA720901 QTV720901:QTW720901 RDR720901:RDS720901 RNN720901:RNO720901 RXJ720901:RXK720901 SHF720901:SHG720901 SRB720901:SRC720901 TAX720901:TAY720901 TKT720901:TKU720901 TUP720901:TUQ720901 UEL720901:UEM720901 UOH720901:UOI720901 UYD720901:UYE720901 VHZ720901:VIA720901 VRV720901:VRW720901 WBR720901:WBS720901 WLN720901:WLO720901 WVJ720901:WVK720901 B786437:C786437 IX786437:IY786437 ST786437:SU786437 ACP786437:ACQ786437 AML786437:AMM786437 AWH786437:AWI786437 BGD786437:BGE786437 BPZ786437:BQA786437 BZV786437:BZW786437 CJR786437:CJS786437 CTN786437:CTO786437 DDJ786437:DDK786437 DNF786437:DNG786437 DXB786437:DXC786437 EGX786437:EGY786437 EQT786437:EQU786437 FAP786437:FAQ786437 FKL786437:FKM786437 FUH786437:FUI786437 GED786437:GEE786437 GNZ786437:GOA786437 GXV786437:GXW786437 HHR786437:HHS786437 HRN786437:HRO786437 IBJ786437:IBK786437 ILF786437:ILG786437 IVB786437:IVC786437 JEX786437:JEY786437 JOT786437:JOU786437 JYP786437:JYQ786437 KIL786437:KIM786437 KSH786437:KSI786437 LCD786437:LCE786437 LLZ786437:LMA786437 LVV786437:LVW786437 MFR786437:MFS786437 MPN786437:MPO786437 MZJ786437:MZK786437 NJF786437:NJG786437 NTB786437:NTC786437 OCX786437:OCY786437 OMT786437:OMU786437 OWP786437:OWQ786437 PGL786437:PGM786437 PQH786437:PQI786437 QAD786437:QAE786437 QJZ786437:QKA786437 QTV786437:QTW786437 RDR786437:RDS786437 RNN786437:RNO786437 RXJ786437:RXK786437 SHF786437:SHG786437 SRB786437:SRC786437 TAX786437:TAY786437 TKT786437:TKU786437 TUP786437:TUQ786437 UEL786437:UEM786437 UOH786437:UOI786437 UYD786437:UYE786437 VHZ786437:VIA786437 VRV786437:VRW786437 WBR786437:WBS786437 WLN786437:WLO786437 WVJ786437:WVK786437 B851973:C851973 IX851973:IY851973 ST851973:SU851973 ACP851973:ACQ851973 AML851973:AMM851973 AWH851973:AWI851973 BGD851973:BGE851973 BPZ851973:BQA851973 BZV851973:BZW851973 CJR851973:CJS851973 CTN851973:CTO851973 DDJ851973:DDK851973 DNF851973:DNG851973 DXB851973:DXC851973 EGX851973:EGY851973 EQT851973:EQU851973 FAP851973:FAQ851973 FKL851973:FKM851973 FUH851973:FUI851973 GED851973:GEE851973 GNZ851973:GOA851973 GXV851973:GXW851973 HHR851973:HHS851973 HRN851973:HRO851973 IBJ851973:IBK851973 ILF851973:ILG851973 IVB851973:IVC851973 JEX851973:JEY851973 JOT851973:JOU851973 JYP851973:JYQ851973 KIL851973:KIM851973 KSH851973:KSI851973 LCD851973:LCE851973 LLZ851973:LMA851973 LVV851973:LVW851973 MFR851973:MFS851973 MPN851973:MPO851973 MZJ851973:MZK851973 NJF851973:NJG851973 NTB851973:NTC851973 OCX851973:OCY851973 OMT851973:OMU851973 OWP851973:OWQ851973 PGL851973:PGM851973 PQH851973:PQI851973 QAD851973:QAE851973 QJZ851973:QKA851973 QTV851973:QTW851973 RDR851973:RDS851973 RNN851973:RNO851973 RXJ851973:RXK851973 SHF851973:SHG851973 SRB851973:SRC851973 TAX851973:TAY851973 TKT851973:TKU851973 TUP851973:TUQ851973 UEL851973:UEM851973 UOH851973:UOI851973 UYD851973:UYE851973 VHZ851973:VIA851973 VRV851973:VRW851973 WBR851973:WBS851973 WLN851973:WLO851973 WVJ851973:WVK851973 B917509:C917509 IX917509:IY917509 ST917509:SU917509 ACP917509:ACQ917509 AML917509:AMM917509 AWH917509:AWI917509 BGD917509:BGE917509 BPZ917509:BQA917509 BZV917509:BZW917509 CJR917509:CJS917509 CTN917509:CTO917509 DDJ917509:DDK917509 DNF917509:DNG917509 DXB917509:DXC917509 EGX917509:EGY917509 EQT917509:EQU917509 FAP917509:FAQ917509 FKL917509:FKM917509 FUH917509:FUI917509 GED917509:GEE917509 GNZ917509:GOA917509 GXV917509:GXW917509 HHR917509:HHS917509 HRN917509:HRO917509 IBJ917509:IBK917509 ILF917509:ILG917509 IVB917509:IVC917509 JEX917509:JEY917509 JOT917509:JOU917509 JYP917509:JYQ917509 KIL917509:KIM917509 KSH917509:KSI917509 LCD917509:LCE917509 LLZ917509:LMA917509 LVV917509:LVW917509 MFR917509:MFS917509 MPN917509:MPO917509 MZJ917509:MZK917509 NJF917509:NJG917509 NTB917509:NTC917509 OCX917509:OCY917509 OMT917509:OMU917509 OWP917509:OWQ917509 PGL917509:PGM917509 PQH917509:PQI917509 QAD917509:QAE917509 QJZ917509:QKA917509 QTV917509:QTW917509 RDR917509:RDS917509 RNN917509:RNO917509 RXJ917509:RXK917509 SHF917509:SHG917509 SRB917509:SRC917509 TAX917509:TAY917509 TKT917509:TKU917509 TUP917509:TUQ917509 UEL917509:UEM917509 UOH917509:UOI917509 UYD917509:UYE917509 VHZ917509:VIA917509 VRV917509:VRW917509 WBR917509:WBS917509 WLN917509:WLO917509 WVJ917509:WVK917509 B983045:C983045 IX983045:IY983045 ST983045:SU983045 ACP983045:ACQ983045 AML983045:AMM983045 AWH983045:AWI983045 BGD983045:BGE983045 BPZ983045:BQA983045 BZV983045:BZW983045 CJR983045:CJS983045 CTN983045:CTO983045 DDJ983045:DDK983045 DNF983045:DNG983045 DXB983045:DXC983045 EGX983045:EGY983045 EQT983045:EQU983045 FAP983045:FAQ983045 FKL983045:FKM983045 FUH983045:FUI983045 GED983045:GEE983045 GNZ983045:GOA983045 GXV983045:GXW983045 HHR983045:HHS983045 HRN983045:HRO983045 IBJ983045:IBK983045 ILF983045:ILG983045 IVB983045:IVC983045 JEX983045:JEY983045 JOT983045:JOU983045 JYP983045:JYQ983045 KIL983045:KIM983045 KSH983045:KSI983045 LCD983045:LCE983045 LLZ983045:LMA983045 LVV983045:LVW983045 MFR983045:MFS983045 MPN983045:MPO983045 MZJ983045:MZK983045 NJF983045:NJG983045 NTB983045:NTC983045 OCX983045:OCY983045 OMT983045:OMU983045 OWP983045:OWQ983045 PGL983045:PGM983045 PQH983045:PQI983045 QAD983045:QAE983045 QJZ983045:QKA983045 QTV983045:QTW983045 RDR983045:RDS983045 RNN983045:RNO983045 RXJ983045:RXK983045 SHF983045:SHG983045 SRB983045:SRC983045 TAX983045:TAY983045 TKT983045:TKU983045 TUP983045:TUQ983045 UEL983045:UEM983045 UOH983045:UOI983045 UYD983045:UYE983045 VHZ983045:VIA983045 VRV983045:VRW983045 WBR983045:WBS983045 WLN983045:WLO983045 WVJ983045:WVK983045">
      <formula1>$L$9:$L$10</formula1>
    </dataValidation>
    <dataValidation type="list" allowBlank="1" showInputMessage="1" showErrorMessage="1" errorTitle="Error message" error="Type not valid!" sqref="B16:C18 IX16:IY18 ST16:SU18 ACP16:ACQ18 AML16:AMM18 AWH16:AWI18 BGD16:BGE18 BPZ16:BQA18 BZV16:BZW18 CJR16:CJS18 CTN16:CTO18 DDJ16:DDK18 DNF16:DNG18 DXB16:DXC18 EGX16:EGY18 EQT16:EQU18 FAP16:FAQ18 FKL16:FKM18 FUH16:FUI18 GED16:GEE18 GNZ16:GOA18 GXV16:GXW18 HHR16:HHS18 HRN16:HRO18 IBJ16:IBK18 ILF16:ILG18 IVB16:IVC18 JEX16:JEY18 JOT16:JOU18 JYP16:JYQ18 KIL16:KIM18 KSH16:KSI18 LCD16:LCE18 LLZ16:LMA18 LVV16:LVW18 MFR16:MFS18 MPN16:MPO18 MZJ16:MZK18 NJF16:NJG18 NTB16:NTC18 OCX16:OCY18 OMT16:OMU18 OWP16:OWQ18 PGL16:PGM18 PQH16:PQI18 QAD16:QAE18 QJZ16:QKA18 QTV16:QTW18 RDR16:RDS18 RNN16:RNO18 RXJ16:RXK18 SHF16:SHG18 SRB16:SRC18 TAX16:TAY18 TKT16:TKU18 TUP16:TUQ18 UEL16:UEM18 UOH16:UOI18 UYD16:UYE18 VHZ16:VIA18 VRV16:VRW18 WBR16:WBS18 WLN16:WLO18 WVJ16:WVK18 B65548:C65550 IX65548:IY65550 ST65548:SU65550 ACP65548:ACQ65550 AML65548:AMM65550 AWH65548:AWI65550 BGD65548:BGE65550 BPZ65548:BQA65550 BZV65548:BZW65550 CJR65548:CJS65550 CTN65548:CTO65550 DDJ65548:DDK65550 DNF65548:DNG65550 DXB65548:DXC65550 EGX65548:EGY65550 EQT65548:EQU65550 FAP65548:FAQ65550 FKL65548:FKM65550 FUH65548:FUI65550 GED65548:GEE65550 GNZ65548:GOA65550 GXV65548:GXW65550 HHR65548:HHS65550 HRN65548:HRO65550 IBJ65548:IBK65550 ILF65548:ILG65550 IVB65548:IVC65550 JEX65548:JEY65550 JOT65548:JOU65550 JYP65548:JYQ65550 KIL65548:KIM65550 KSH65548:KSI65550 LCD65548:LCE65550 LLZ65548:LMA65550 LVV65548:LVW65550 MFR65548:MFS65550 MPN65548:MPO65550 MZJ65548:MZK65550 NJF65548:NJG65550 NTB65548:NTC65550 OCX65548:OCY65550 OMT65548:OMU65550 OWP65548:OWQ65550 PGL65548:PGM65550 PQH65548:PQI65550 QAD65548:QAE65550 QJZ65548:QKA65550 QTV65548:QTW65550 RDR65548:RDS65550 RNN65548:RNO65550 RXJ65548:RXK65550 SHF65548:SHG65550 SRB65548:SRC65550 TAX65548:TAY65550 TKT65548:TKU65550 TUP65548:TUQ65550 UEL65548:UEM65550 UOH65548:UOI65550 UYD65548:UYE65550 VHZ65548:VIA65550 VRV65548:VRW65550 WBR65548:WBS65550 WLN65548:WLO65550 WVJ65548:WVK65550 B131084:C131086 IX131084:IY131086 ST131084:SU131086 ACP131084:ACQ131086 AML131084:AMM131086 AWH131084:AWI131086 BGD131084:BGE131086 BPZ131084:BQA131086 BZV131084:BZW131086 CJR131084:CJS131086 CTN131084:CTO131086 DDJ131084:DDK131086 DNF131084:DNG131086 DXB131084:DXC131086 EGX131084:EGY131086 EQT131084:EQU131086 FAP131084:FAQ131086 FKL131084:FKM131086 FUH131084:FUI131086 GED131084:GEE131086 GNZ131084:GOA131086 GXV131084:GXW131086 HHR131084:HHS131086 HRN131084:HRO131086 IBJ131084:IBK131086 ILF131084:ILG131086 IVB131084:IVC131086 JEX131084:JEY131086 JOT131084:JOU131086 JYP131084:JYQ131086 KIL131084:KIM131086 KSH131084:KSI131086 LCD131084:LCE131086 LLZ131084:LMA131086 LVV131084:LVW131086 MFR131084:MFS131086 MPN131084:MPO131086 MZJ131084:MZK131086 NJF131084:NJG131086 NTB131084:NTC131086 OCX131084:OCY131086 OMT131084:OMU131086 OWP131084:OWQ131086 PGL131084:PGM131086 PQH131084:PQI131086 QAD131084:QAE131086 QJZ131084:QKA131086 QTV131084:QTW131086 RDR131084:RDS131086 RNN131084:RNO131086 RXJ131084:RXK131086 SHF131084:SHG131086 SRB131084:SRC131086 TAX131084:TAY131086 TKT131084:TKU131086 TUP131084:TUQ131086 UEL131084:UEM131086 UOH131084:UOI131086 UYD131084:UYE131086 VHZ131084:VIA131086 VRV131084:VRW131086 WBR131084:WBS131086 WLN131084:WLO131086 WVJ131084:WVK131086 B196620:C196622 IX196620:IY196622 ST196620:SU196622 ACP196620:ACQ196622 AML196620:AMM196622 AWH196620:AWI196622 BGD196620:BGE196622 BPZ196620:BQA196622 BZV196620:BZW196622 CJR196620:CJS196622 CTN196620:CTO196622 DDJ196620:DDK196622 DNF196620:DNG196622 DXB196620:DXC196622 EGX196620:EGY196622 EQT196620:EQU196622 FAP196620:FAQ196622 FKL196620:FKM196622 FUH196620:FUI196622 GED196620:GEE196622 GNZ196620:GOA196622 GXV196620:GXW196622 HHR196620:HHS196622 HRN196620:HRO196622 IBJ196620:IBK196622 ILF196620:ILG196622 IVB196620:IVC196622 JEX196620:JEY196622 JOT196620:JOU196622 JYP196620:JYQ196622 KIL196620:KIM196622 KSH196620:KSI196622 LCD196620:LCE196622 LLZ196620:LMA196622 LVV196620:LVW196622 MFR196620:MFS196622 MPN196620:MPO196622 MZJ196620:MZK196622 NJF196620:NJG196622 NTB196620:NTC196622 OCX196620:OCY196622 OMT196620:OMU196622 OWP196620:OWQ196622 PGL196620:PGM196622 PQH196620:PQI196622 QAD196620:QAE196622 QJZ196620:QKA196622 QTV196620:QTW196622 RDR196620:RDS196622 RNN196620:RNO196622 RXJ196620:RXK196622 SHF196620:SHG196622 SRB196620:SRC196622 TAX196620:TAY196622 TKT196620:TKU196622 TUP196620:TUQ196622 UEL196620:UEM196622 UOH196620:UOI196622 UYD196620:UYE196622 VHZ196620:VIA196622 VRV196620:VRW196622 WBR196620:WBS196622 WLN196620:WLO196622 WVJ196620:WVK196622 B262156:C262158 IX262156:IY262158 ST262156:SU262158 ACP262156:ACQ262158 AML262156:AMM262158 AWH262156:AWI262158 BGD262156:BGE262158 BPZ262156:BQA262158 BZV262156:BZW262158 CJR262156:CJS262158 CTN262156:CTO262158 DDJ262156:DDK262158 DNF262156:DNG262158 DXB262156:DXC262158 EGX262156:EGY262158 EQT262156:EQU262158 FAP262156:FAQ262158 FKL262156:FKM262158 FUH262156:FUI262158 GED262156:GEE262158 GNZ262156:GOA262158 GXV262156:GXW262158 HHR262156:HHS262158 HRN262156:HRO262158 IBJ262156:IBK262158 ILF262156:ILG262158 IVB262156:IVC262158 JEX262156:JEY262158 JOT262156:JOU262158 JYP262156:JYQ262158 KIL262156:KIM262158 KSH262156:KSI262158 LCD262156:LCE262158 LLZ262156:LMA262158 LVV262156:LVW262158 MFR262156:MFS262158 MPN262156:MPO262158 MZJ262156:MZK262158 NJF262156:NJG262158 NTB262156:NTC262158 OCX262156:OCY262158 OMT262156:OMU262158 OWP262156:OWQ262158 PGL262156:PGM262158 PQH262156:PQI262158 QAD262156:QAE262158 QJZ262156:QKA262158 QTV262156:QTW262158 RDR262156:RDS262158 RNN262156:RNO262158 RXJ262156:RXK262158 SHF262156:SHG262158 SRB262156:SRC262158 TAX262156:TAY262158 TKT262156:TKU262158 TUP262156:TUQ262158 UEL262156:UEM262158 UOH262156:UOI262158 UYD262156:UYE262158 VHZ262156:VIA262158 VRV262156:VRW262158 WBR262156:WBS262158 WLN262156:WLO262158 WVJ262156:WVK262158 B327692:C327694 IX327692:IY327694 ST327692:SU327694 ACP327692:ACQ327694 AML327692:AMM327694 AWH327692:AWI327694 BGD327692:BGE327694 BPZ327692:BQA327694 BZV327692:BZW327694 CJR327692:CJS327694 CTN327692:CTO327694 DDJ327692:DDK327694 DNF327692:DNG327694 DXB327692:DXC327694 EGX327692:EGY327694 EQT327692:EQU327694 FAP327692:FAQ327694 FKL327692:FKM327694 FUH327692:FUI327694 GED327692:GEE327694 GNZ327692:GOA327694 GXV327692:GXW327694 HHR327692:HHS327694 HRN327692:HRO327694 IBJ327692:IBK327694 ILF327692:ILG327694 IVB327692:IVC327694 JEX327692:JEY327694 JOT327692:JOU327694 JYP327692:JYQ327694 KIL327692:KIM327694 KSH327692:KSI327694 LCD327692:LCE327694 LLZ327692:LMA327694 LVV327692:LVW327694 MFR327692:MFS327694 MPN327692:MPO327694 MZJ327692:MZK327694 NJF327692:NJG327694 NTB327692:NTC327694 OCX327692:OCY327694 OMT327692:OMU327694 OWP327692:OWQ327694 PGL327692:PGM327694 PQH327692:PQI327694 QAD327692:QAE327694 QJZ327692:QKA327694 QTV327692:QTW327694 RDR327692:RDS327694 RNN327692:RNO327694 RXJ327692:RXK327694 SHF327692:SHG327694 SRB327692:SRC327694 TAX327692:TAY327694 TKT327692:TKU327694 TUP327692:TUQ327694 UEL327692:UEM327694 UOH327692:UOI327694 UYD327692:UYE327694 VHZ327692:VIA327694 VRV327692:VRW327694 WBR327692:WBS327694 WLN327692:WLO327694 WVJ327692:WVK327694 B393228:C393230 IX393228:IY393230 ST393228:SU393230 ACP393228:ACQ393230 AML393228:AMM393230 AWH393228:AWI393230 BGD393228:BGE393230 BPZ393228:BQA393230 BZV393228:BZW393230 CJR393228:CJS393230 CTN393228:CTO393230 DDJ393228:DDK393230 DNF393228:DNG393230 DXB393228:DXC393230 EGX393228:EGY393230 EQT393228:EQU393230 FAP393228:FAQ393230 FKL393228:FKM393230 FUH393228:FUI393230 GED393228:GEE393230 GNZ393228:GOA393230 GXV393228:GXW393230 HHR393228:HHS393230 HRN393228:HRO393230 IBJ393228:IBK393230 ILF393228:ILG393230 IVB393228:IVC393230 JEX393228:JEY393230 JOT393228:JOU393230 JYP393228:JYQ393230 KIL393228:KIM393230 KSH393228:KSI393230 LCD393228:LCE393230 LLZ393228:LMA393230 LVV393228:LVW393230 MFR393228:MFS393230 MPN393228:MPO393230 MZJ393228:MZK393230 NJF393228:NJG393230 NTB393228:NTC393230 OCX393228:OCY393230 OMT393228:OMU393230 OWP393228:OWQ393230 PGL393228:PGM393230 PQH393228:PQI393230 QAD393228:QAE393230 QJZ393228:QKA393230 QTV393228:QTW393230 RDR393228:RDS393230 RNN393228:RNO393230 RXJ393228:RXK393230 SHF393228:SHG393230 SRB393228:SRC393230 TAX393228:TAY393230 TKT393228:TKU393230 TUP393228:TUQ393230 UEL393228:UEM393230 UOH393228:UOI393230 UYD393228:UYE393230 VHZ393228:VIA393230 VRV393228:VRW393230 WBR393228:WBS393230 WLN393228:WLO393230 WVJ393228:WVK393230 B458764:C458766 IX458764:IY458766 ST458764:SU458766 ACP458764:ACQ458766 AML458764:AMM458766 AWH458764:AWI458766 BGD458764:BGE458766 BPZ458764:BQA458766 BZV458764:BZW458766 CJR458764:CJS458766 CTN458764:CTO458766 DDJ458764:DDK458766 DNF458764:DNG458766 DXB458764:DXC458766 EGX458764:EGY458766 EQT458764:EQU458766 FAP458764:FAQ458766 FKL458764:FKM458766 FUH458764:FUI458766 GED458764:GEE458766 GNZ458764:GOA458766 GXV458764:GXW458766 HHR458764:HHS458766 HRN458764:HRO458766 IBJ458764:IBK458766 ILF458764:ILG458766 IVB458764:IVC458766 JEX458764:JEY458766 JOT458764:JOU458766 JYP458764:JYQ458766 KIL458764:KIM458766 KSH458764:KSI458766 LCD458764:LCE458766 LLZ458764:LMA458766 LVV458764:LVW458766 MFR458764:MFS458766 MPN458764:MPO458766 MZJ458764:MZK458766 NJF458764:NJG458766 NTB458764:NTC458766 OCX458764:OCY458766 OMT458764:OMU458766 OWP458764:OWQ458766 PGL458764:PGM458766 PQH458764:PQI458766 QAD458764:QAE458766 QJZ458764:QKA458766 QTV458764:QTW458766 RDR458764:RDS458766 RNN458764:RNO458766 RXJ458764:RXK458766 SHF458764:SHG458766 SRB458764:SRC458766 TAX458764:TAY458766 TKT458764:TKU458766 TUP458764:TUQ458766 UEL458764:UEM458766 UOH458764:UOI458766 UYD458764:UYE458766 VHZ458764:VIA458766 VRV458764:VRW458766 WBR458764:WBS458766 WLN458764:WLO458766 WVJ458764:WVK458766 B524300:C524302 IX524300:IY524302 ST524300:SU524302 ACP524300:ACQ524302 AML524300:AMM524302 AWH524300:AWI524302 BGD524300:BGE524302 BPZ524300:BQA524302 BZV524300:BZW524302 CJR524300:CJS524302 CTN524300:CTO524302 DDJ524300:DDK524302 DNF524300:DNG524302 DXB524300:DXC524302 EGX524300:EGY524302 EQT524300:EQU524302 FAP524300:FAQ524302 FKL524300:FKM524302 FUH524300:FUI524302 GED524300:GEE524302 GNZ524300:GOA524302 GXV524300:GXW524302 HHR524300:HHS524302 HRN524300:HRO524302 IBJ524300:IBK524302 ILF524300:ILG524302 IVB524300:IVC524302 JEX524300:JEY524302 JOT524300:JOU524302 JYP524300:JYQ524302 KIL524300:KIM524302 KSH524300:KSI524302 LCD524300:LCE524302 LLZ524300:LMA524302 LVV524300:LVW524302 MFR524300:MFS524302 MPN524300:MPO524302 MZJ524300:MZK524302 NJF524300:NJG524302 NTB524300:NTC524302 OCX524300:OCY524302 OMT524300:OMU524302 OWP524300:OWQ524302 PGL524300:PGM524302 PQH524300:PQI524302 QAD524300:QAE524302 QJZ524300:QKA524302 QTV524300:QTW524302 RDR524300:RDS524302 RNN524300:RNO524302 RXJ524300:RXK524302 SHF524300:SHG524302 SRB524300:SRC524302 TAX524300:TAY524302 TKT524300:TKU524302 TUP524300:TUQ524302 UEL524300:UEM524302 UOH524300:UOI524302 UYD524300:UYE524302 VHZ524300:VIA524302 VRV524300:VRW524302 WBR524300:WBS524302 WLN524300:WLO524302 WVJ524300:WVK524302 B589836:C589838 IX589836:IY589838 ST589836:SU589838 ACP589836:ACQ589838 AML589836:AMM589838 AWH589836:AWI589838 BGD589836:BGE589838 BPZ589836:BQA589838 BZV589836:BZW589838 CJR589836:CJS589838 CTN589836:CTO589838 DDJ589836:DDK589838 DNF589836:DNG589838 DXB589836:DXC589838 EGX589836:EGY589838 EQT589836:EQU589838 FAP589836:FAQ589838 FKL589836:FKM589838 FUH589836:FUI589838 GED589836:GEE589838 GNZ589836:GOA589838 GXV589836:GXW589838 HHR589836:HHS589838 HRN589836:HRO589838 IBJ589836:IBK589838 ILF589836:ILG589838 IVB589836:IVC589838 JEX589836:JEY589838 JOT589836:JOU589838 JYP589836:JYQ589838 KIL589836:KIM589838 KSH589836:KSI589838 LCD589836:LCE589838 LLZ589836:LMA589838 LVV589836:LVW589838 MFR589836:MFS589838 MPN589836:MPO589838 MZJ589836:MZK589838 NJF589836:NJG589838 NTB589836:NTC589838 OCX589836:OCY589838 OMT589836:OMU589838 OWP589836:OWQ589838 PGL589836:PGM589838 PQH589836:PQI589838 QAD589836:QAE589838 QJZ589836:QKA589838 QTV589836:QTW589838 RDR589836:RDS589838 RNN589836:RNO589838 RXJ589836:RXK589838 SHF589836:SHG589838 SRB589836:SRC589838 TAX589836:TAY589838 TKT589836:TKU589838 TUP589836:TUQ589838 UEL589836:UEM589838 UOH589836:UOI589838 UYD589836:UYE589838 VHZ589836:VIA589838 VRV589836:VRW589838 WBR589836:WBS589838 WLN589836:WLO589838 WVJ589836:WVK589838 B655372:C655374 IX655372:IY655374 ST655372:SU655374 ACP655372:ACQ655374 AML655372:AMM655374 AWH655372:AWI655374 BGD655372:BGE655374 BPZ655372:BQA655374 BZV655372:BZW655374 CJR655372:CJS655374 CTN655372:CTO655374 DDJ655372:DDK655374 DNF655372:DNG655374 DXB655372:DXC655374 EGX655372:EGY655374 EQT655372:EQU655374 FAP655372:FAQ655374 FKL655372:FKM655374 FUH655372:FUI655374 GED655372:GEE655374 GNZ655372:GOA655374 GXV655372:GXW655374 HHR655372:HHS655374 HRN655372:HRO655374 IBJ655372:IBK655374 ILF655372:ILG655374 IVB655372:IVC655374 JEX655372:JEY655374 JOT655372:JOU655374 JYP655372:JYQ655374 KIL655372:KIM655374 KSH655372:KSI655374 LCD655372:LCE655374 LLZ655372:LMA655374 LVV655372:LVW655374 MFR655372:MFS655374 MPN655372:MPO655374 MZJ655372:MZK655374 NJF655372:NJG655374 NTB655372:NTC655374 OCX655372:OCY655374 OMT655372:OMU655374 OWP655372:OWQ655374 PGL655372:PGM655374 PQH655372:PQI655374 QAD655372:QAE655374 QJZ655372:QKA655374 QTV655372:QTW655374 RDR655372:RDS655374 RNN655372:RNO655374 RXJ655372:RXK655374 SHF655372:SHG655374 SRB655372:SRC655374 TAX655372:TAY655374 TKT655372:TKU655374 TUP655372:TUQ655374 UEL655372:UEM655374 UOH655372:UOI655374 UYD655372:UYE655374 VHZ655372:VIA655374 VRV655372:VRW655374 WBR655372:WBS655374 WLN655372:WLO655374 WVJ655372:WVK655374 B720908:C720910 IX720908:IY720910 ST720908:SU720910 ACP720908:ACQ720910 AML720908:AMM720910 AWH720908:AWI720910 BGD720908:BGE720910 BPZ720908:BQA720910 BZV720908:BZW720910 CJR720908:CJS720910 CTN720908:CTO720910 DDJ720908:DDK720910 DNF720908:DNG720910 DXB720908:DXC720910 EGX720908:EGY720910 EQT720908:EQU720910 FAP720908:FAQ720910 FKL720908:FKM720910 FUH720908:FUI720910 GED720908:GEE720910 GNZ720908:GOA720910 GXV720908:GXW720910 HHR720908:HHS720910 HRN720908:HRO720910 IBJ720908:IBK720910 ILF720908:ILG720910 IVB720908:IVC720910 JEX720908:JEY720910 JOT720908:JOU720910 JYP720908:JYQ720910 KIL720908:KIM720910 KSH720908:KSI720910 LCD720908:LCE720910 LLZ720908:LMA720910 LVV720908:LVW720910 MFR720908:MFS720910 MPN720908:MPO720910 MZJ720908:MZK720910 NJF720908:NJG720910 NTB720908:NTC720910 OCX720908:OCY720910 OMT720908:OMU720910 OWP720908:OWQ720910 PGL720908:PGM720910 PQH720908:PQI720910 QAD720908:QAE720910 QJZ720908:QKA720910 QTV720908:QTW720910 RDR720908:RDS720910 RNN720908:RNO720910 RXJ720908:RXK720910 SHF720908:SHG720910 SRB720908:SRC720910 TAX720908:TAY720910 TKT720908:TKU720910 TUP720908:TUQ720910 UEL720908:UEM720910 UOH720908:UOI720910 UYD720908:UYE720910 VHZ720908:VIA720910 VRV720908:VRW720910 WBR720908:WBS720910 WLN720908:WLO720910 WVJ720908:WVK720910 B786444:C786446 IX786444:IY786446 ST786444:SU786446 ACP786444:ACQ786446 AML786444:AMM786446 AWH786444:AWI786446 BGD786444:BGE786446 BPZ786444:BQA786446 BZV786444:BZW786446 CJR786444:CJS786446 CTN786444:CTO786446 DDJ786444:DDK786446 DNF786444:DNG786446 DXB786444:DXC786446 EGX786444:EGY786446 EQT786444:EQU786446 FAP786444:FAQ786446 FKL786444:FKM786446 FUH786444:FUI786446 GED786444:GEE786446 GNZ786444:GOA786446 GXV786444:GXW786446 HHR786444:HHS786446 HRN786444:HRO786446 IBJ786444:IBK786446 ILF786444:ILG786446 IVB786444:IVC786446 JEX786444:JEY786446 JOT786444:JOU786446 JYP786444:JYQ786446 KIL786444:KIM786446 KSH786444:KSI786446 LCD786444:LCE786446 LLZ786444:LMA786446 LVV786444:LVW786446 MFR786444:MFS786446 MPN786444:MPO786446 MZJ786444:MZK786446 NJF786444:NJG786446 NTB786444:NTC786446 OCX786444:OCY786446 OMT786444:OMU786446 OWP786444:OWQ786446 PGL786444:PGM786446 PQH786444:PQI786446 QAD786444:QAE786446 QJZ786444:QKA786446 QTV786444:QTW786446 RDR786444:RDS786446 RNN786444:RNO786446 RXJ786444:RXK786446 SHF786444:SHG786446 SRB786444:SRC786446 TAX786444:TAY786446 TKT786444:TKU786446 TUP786444:TUQ786446 UEL786444:UEM786446 UOH786444:UOI786446 UYD786444:UYE786446 VHZ786444:VIA786446 VRV786444:VRW786446 WBR786444:WBS786446 WLN786444:WLO786446 WVJ786444:WVK786446 B851980:C851982 IX851980:IY851982 ST851980:SU851982 ACP851980:ACQ851982 AML851980:AMM851982 AWH851980:AWI851982 BGD851980:BGE851982 BPZ851980:BQA851982 BZV851980:BZW851982 CJR851980:CJS851982 CTN851980:CTO851982 DDJ851980:DDK851982 DNF851980:DNG851982 DXB851980:DXC851982 EGX851980:EGY851982 EQT851980:EQU851982 FAP851980:FAQ851982 FKL851980:FKM851982 FUH851980:FUI851982 GED851980:GEE851982 GNZ851980:GOA851982 GXV851980:GXW851982 HHR851980:HHS851982 HRN851980:HRO851982 IBJ851980:IBK851982 ILF851980:ILG851982 IVB851980:IVC851982 JEX851980:JEY851982 JOT851980:JOU851982 JYP851980:JYQ851982 KIL851980:KIM851982 KSH851980:KSI851982 LCD851980:LCE851982 LLZ851980:LMA851982 LVV851980:LVW851982 MFR851980:MFS851982 MPN851980:MPO851982 MZJ851980:MZK851982 NJF851980:NJG851982 NTB851980:NTC851982 OCX851980:OCY851982 OMT851980:OMU851982 OWP851980:OWQ851982 PGL851980:PGM851982 PQH851980:PQI851982 QAD851980:QAE851982 QJZ851980:QKA851982 QTV851980:QTW851982 RDR851980:RDS851982 RNN851980:RNO851982 RXJ851980:RXK851982 SHF851980:SHG851982 SRB851980:SRC851982 TAX851980:TAY851982 TKT851980:TKU851982 TUP851980:TUQ851982 UEL851980:UEM851982 UOH851980:UOI851982 UYD851980:UYE851982 VHZ851980:VIA851982 VRV851980:VRW851982 WBR851980:WBS851982 WLN851980:WLO851982 WVJ851980:WVK851982 B917516:C917518 IX917516:IY917518 ST917516:SU917518 ACP917516:ACQ917518 AML917516:AMM917518 AWH917516:AWI917518 BGD917516:BGE917518 BPZ917516:BQA917518 BZV917516:BZW917518 CJR917516:CJS917518 CTN917516:CTO917518 DDJ917516:DDK917518 DNF917516:DNG917518 DXB917516:DXC917518 EGX917516:EGY917518 EQT917516:EQU917518 FAP917516:FAQ917518 FKL917516:FKM917518 FUH917516:FUI917518 GED917516:GEE917518 GNZ917516:GOA917518 GXV917516:GXW917518 HHR917516:HHS917518 HRN917516:HRO917518 IBJ917516:IBK917518 ILF917516:ILG917518 IVB917516:IVC917518 JEX917516:JEY917518 JOT917516:JOU917518 JYP917516:JYQ917518 KIL917516:KIM917518 KSH917516:KSI917518 LCD917516:LCE917518 LLZ917516:LMA917518 LVV917516:LVW917518 MFR917516:MFS917518 MPN917516:MPO917518 MZJ917516:MZK917518 NJF917516:NJG917518 NTB917516:NTC917518 OCX917516:OCY917518 OMT917516:OMU917518 OWP917516:OWQ917518 PGL917516:PGM917518 PQH917516:PQI917518 QAD917516:QAE917518 QJZ917516:QKA917518 QTV917516:QTW917518 RDR917516:RDS917518 RNN917516:RNO917518 RXJ917516:RXK917518 SHF917516:SHG917518 SRB917516:SRC917518 TAX917516:TAY917518 TKT917516:TKU917518 TUP917516:TUQ917518 UEL917516:UEM917518 UOH917516:UOI917518 UYD917516:UYE917518 VHZ917516:VIA917518 VRV917516:VRW917518 WBR917516:WBS917518 WLN917516:WLO917518 WVJ917516:WVK917518 B983052:C983054 IX983052:IY983054 ST983052:SU983054 ACP983052:ACQ983054 AML983052:AMM983054 AWH983052:AWI983054 BGD983052:BGE983054 BPZ983052:BQA983054 BZV983052:BZW983054 CJR983052:CJS983054 CTN983052:CTO983054 DDJ983052:DDK983054 DNF983052:DNG983054 DXB983052:DXC983054 EGX983052:EGY983054 EQT983052:EQU983054 FAP983052:FAQ983054 FKL983052:FKM983054 FUH983052:FUI983054 GED983052:GEE983054 GNZ983052:GOA983054 GXV983052:GXW983054 HHR983052:HHS983054 HRN983052:HRO983054 IBJ983052:IBK983054 ILF983052:ILG983054 IVB983052:IVC983054 JEX983052:JEY983054 JOT983052:JOU983054 JYP983052:JYQ983054 KIL983052:KIM983054 KSH983052:KSI983054 LCD983052:LCE983054 LLZ983052:LMA983054 LVV983052:LVW983054 MFR983052:MFS983054 MPN983052:MPO983054 MZJ983052:MZK983054 NJF983052:NJG983054 NTB983052:NTC983054 OCX983052:OCY983054 OMT983052:OMU983054 OWP983052:OWQ983054 PGL983052:PGM983054 PQH983052:PQI983054 QAD983052:QAE983054 QJZ983052:QKA983054 QTV983052:QTW983054 RDR983052:RDS983054 RNN983052:RNO983054 RXJ983052:RXK983054 SHF983052:SHG983054 SRB983052:SRC983054 TAX983052:TAY983054 TKT983052:TKU983054 TUP983052:TUQ983054 UEL983052:UEM983054 UOH983052:UOI983054 UYD983052:UYE983054 VHZ983052:VIA983054 VRV983052:VRW983054 WBR983052:WBS983054 WLN983052:WLO983054 WVJ983052:WVK983054">
      <formula1>$L$12:$L$13</formula1>
    </dataValidation>
    <dataValidation type="list" allowBlank="1" showInputMessage="1" showErrorMessage="1" sqref="B19:C19 IX19:IY19 ST19:SU19 ACP19:ACQ19 AML19:AMM19 AWH19:AWI19 BGD19:BGE19 BPZ19:BQA19 BZV19:BZW19 CJR19:CJS19 CTN19:CTO19 DDJ19:DDK19 DNF19:DNG19 DXB19:DXC19 EGX19:EGY19 EQT19:EQU19 FAP19:FAQ19 FKL19:FKM19 FUH19:FUI19 GED19:GEE19 GNZ19:GOA19 GXV19:GXW19 HHR19:HHS19 HRN19:HRO19 IBJ19:IBK19 ILF19:ILG19 IVB19:IVC19 JEX19:JEY19 JOT19:JOU19 JYP19:JYQ19 KIL19:KIM19 KSH19:KSI19 LCD19:LCE19 LLZ19:LMA19 LVV19:LVW19 MFR19:MFS19 MPN19:MPO19 MZJ19:MZK19 NJF19:NJG19 NTB19:NTC19 OCX19:OCY19 OMT19:OMU19 OWP19:OWQ19 PGL19:PGM19 PQH19:PQI19 QAD19:QAE19 QJZ19:QKA19 QTV19:QTW19 RDR19:RDS19 RNN19:RNO19 RXJ19:RXK19 SHF19:SHG19 SRB19:SRC19 TAX19:TAY19 TKT19:TKU19 TUP19:TUQ19 UEL19:UEM19 UOH19:UOI19 UYD19:UYE19 VHZ19:VIA19 VRV19:VRW19 WBR19:WBS19 WLN19:WLO19 WVJ19:WVK19 B65551:C65551 IX65551:IY65551 ST65551:SU65551 ACP65551:ACQ65551 AML65551:AMM65551 AWH65551:AWI65551 BGD65551:BGE65551 BPZ65551:BQA65551 BZV65551:BZW65551 CJR65551:CJS65551 CTN65551:CTO65551 DDJ65551:DDK65551 DNF65551:DNG65551 DXB65551:DXC65551 EGX65551:EGY65551 EQT65551:EQU65551 FAP65551:FAQ65551 FKL65551:FKM65551 FUH65551:FUI65551 GED65551:GEE65551 GNZ65551:GOA65551 GXV65551:GXW65551 HHR65551:HHS65551 HRN65551:HRO65551 IBJ65551:IBK65551 ILF65551:ILG65551 IVB65551:IVC65551 JEX65551:JEY65551 JOT65551:JOU65551 JYP65551:JYQ65551 KIL65551:KIM65551 KSH65551:KSI65551 LCD65551:LCE65551 LLZ65551:LMA65551 LVV65551:LVW65551 MFR65551:MFS65551 MPN65551:MPO65551 MZJ65551:MZK65551 NJF65551:NJG65551 NTB65551:NTC65551 OCX65551:OCY65551 OMT65551:OMU65551 OWP65551:OWQ65551 PGL65551:PGM65551 PQH65551:PQI65551 QAD65551:QAE65551 QJZ65551:QKA65551 QTV65551:QTW65551 RDR65551:RDS65551 RNN65551:RNO65551 RXJ65551:RXK65551 SHF65551:SHG65551 SRB65551:SRC65551 TAX65551:TAY65551 TKT65551:TKU65551 TUP65551:TUQ65551 UEL65551:UEM65551 UOH65551:UOI65551 UYD65551:UYE65551 VHZ65551:VIA65551 VRV65551:VRW65551 WBR65551:WBS65551 WLN65551:WLO65551 WVJ65551:WVK65551 B131087:C131087 IX131087:IY131087 ST131087:SU131087 ACP131087:ACQ131087 AML131087:AMM131087 AWH131087:AWI131087 BGD131087:BGE131087 BPZ131087:BQA131087 BZV131087:BZW131087 CJR131087:CJS131087 CTN131087:CTO131087 DDJ131087:DDK131087 DNF131087:DNG131087 DXB131087:DXC131087 EGX131087:EGY131087 EQT131087:EQU131087 FAP131087:FAQ131087 FKL131087:FKM131087 FUH131087:FUI131087 GED131087:GEE131087 GNZ131087:GOA131087 GXV131087:GXW131087 HHR131087:HHS131087 HRN131087:HRO131087 IBJ131087:IBK131087 ILF131087:ILG131087 IVB131087:IVC131087 JEX131087:JEY131087 JOT131087:JOU131087 JYP131087:JYQ131087 KIL131087:KIM131087 KSH131087:KSI131087 LCD131087:LCE131087 LLZ131087:LMA131087 LVV131087:LVW131087 MFR131087:MFS131087 MPN131087:MPO131087 MZJ131087:MZK131087 NJF131087:NJG131087 NTB131087:NTC131087 OCX131087:OCY131087 OMT131087:OMU131087 OWP131087:OWQ131087 PGL131087:PGM131087 PQH131087:PQI131087 QAD131087:QAE131087 QJZ131087:QKA131087 QTV131087:QTW131087 RDR131087:RDS131087 RNN131087:RNO131087 RXJ131087:RXK131087 SHF131087:SHG131087 SRB131087:SRC131087 TAX131087:TAY131087 TKT131087:TKU131087 TUP131087:TUQ131087 UEL131087:UEM131087 UOH131087:UOI131087 UYD131087:UYE131087 VHZ131087:VIA131087 VRV131087:VRW131087 WBR131087:WBS131087 WLN131087:WLO131087 WVJ131087:WVK131087 B196623:C196623 IX196623:IY196623 ST196623:SU196623 ACP196623:ACQ196623 AML196623:AMM196623 AWH196623:AWI196623 BGD196623:BGE196623 BPZ196623:BQA196623 BZV196623:BZW196623 CJR196623:CJS196623 CTN196623:CTO196623 DDJ196623:DDK196623 DNF196623:DNG196623 DXB196623:DXC196623 EGX196623:EGY196623 EQT196623:EQU196623 FAP196623:FAQ196623 FKL196623:FKM196623 FUH196623:FUI196623 GED196623:GEE196623 GNZ196623:GOA196623 GXV196623:GXW196623 HHR196623:HHS196623 HRN196623:HRO196623 IBJ196623:IBK196623 ILF196623:ILG196623 IVB196623:IVC196623 JEX196623:JEY196623 JOT196623:JOU196623 JYP196623:JYQ196623 KIL196623:KIM196623 KSH196623:KSI196623 LCD196623:LCE196623 LLZ196623:LMA196623 LVV196623:LVW196623 MFR196623:MFS196623 MPN196623:MPO196623 MZJ196623:MZK196623 NJF196623:NJG196623 NTB196623:NTC196623 OCX196623:OCY196623 OMT196623:OMU196623 OWP196623:OWQ196623 PGL196623:PGM196623 PQH196623:PQI196623 QAD196623:QAE196623 QJZ196623:QKA196623 QTV196623:QTW196623 RDR196623:RDS196623 RNN196623:RNO196623 RXJ196623:RXK196623 SHF196623:SHG196623 SRB196623:SRC196623 TAX196623:TAY196623 TKT196623:TKU196623 TUP196623:TUQ196623 UEL196623:UEM196623 UOH196623:UOI196623 UYD196623:UYE196623 VHZ196623:VIA196623 VRV196623:VRW196623 WBR196623:WBS196623 WLN196623:WLO196623 WVJ196623:WVK196623 B262159:C262159 IX262159:IY262159 ST262159:SU262159 ACP262159:ACQ262159 AML262159:AMM262159 AWH262159:AWI262159 BGD262159:BGE262159 BPZ262159:BQA262159 BZV262159:BZW262159 CJR262159:CJS262159 CTN262159:CTO262159 DDJ262159:DDK262159 DNF262159:DNG262159 DXB262159:DXC262159 EGX262159:EGY262159 EQT262159:EQU262159 FAP262159:FAQ262159 FKL262159:FKM262159 FUH262159:FUI262159 GED262159:GEE262159 GNZ262159:GOA262159 GXV262159:GXW262159 HHR262159:HHS262159 HRN262159:HRO262159 IBJ262159:IBK262159 ILF262159:ILG262159 IVB262159:IVC262159 JEX262159:JEY262159 JOT262159:JOU262159 JYP262159:JYQ262159 KIL262159:KIM262159 KSH262159:KSI262159 LCD262159:LCE262159 LLZ262159:LMA262159 LVV262159:LVW262159 MFR262159:MFS262159 MPN262159:MPO262159 MZJ262159:MZK262159 NJF262159:NJG262159 NTB262159:NTC262159 OCX262159:OCY262159 OMT262159:OMU262159 OWP262159:OWQ262159 PGL262159:PGM262159 PQH262159:PQI262159 QAD262159:QAE262159 QJZ262159:QKA262159 QTV262159:QTW262159 RDR262159:RDS262159 RNN262159:RNO262159 RXJ262159:RXK262159 SHF262159:SHG262159 SRB262159:SRC262159 TAX262159:TAY262159 TKT262159:TKU262159 TUP262159:TUQ262159 UEL262159:UEM262159 UOH262159:UOI262159 UYD262159:UYE262159 VHZ262159:VIA262159 VRV262159:VRW262159 WBR262159:WBS262159 WLN262159:WLO262159 WVJ262159:WVK262159 B327695:C327695 IX327695:IY327695 ST327695:SU327695 ACP327695:ACQ327695 AML327695:AMM327695 AWH327695:AWI327695 BGD327695:BGE327695 BPZ327695:BQA327695 BZV327695:BZW327695 CJR327695:CJS327695 CTN327695:CTO327695 DDJ327695:DDK327695 DNF327695:DNG327695 DXB327695:DXC327695 EGX327695:EGY327695 EQT327695:EQU327695 FAP327695:FAQ327695 FKL327695:FKM327695 FUH327695:FUI327695 GED327695:GEE327695 GNZ327695:GOA327695 GXV327695:GXW327695 HHR327695:HHS327695 HRN327695:HRO327695 IBJ327695:IBK327695 ILF327695:ILG327695 IVB327695:IVC327695 JEX327695:JEY327695 JOT327695:JOU327695 JYP327695:JYQ327695 KIL327695:KIM327695 KSH327695:KSI327695 LCD327695:LCE327695 LLZ327695:LMA327695 LVV327695:LVW327695 MFR327695:MFS327695 MPN327695:MPO327695 MZJ327695:MZK327695 NJF327695:NJG327695 NTB327695:NTC327695 OCX327695:OCY327695 OMT327695:OMU327695 OWP327695:OWQ327695 PGL327695:PGM327695 PQH327695:PQI327695 QAD327695:QAE327695 QJZ327695:QKA327695 QTV327695:QTW327695 RDR327695:RDS327695 RNN327695:RNO327695 RXJ327695:RXK327695 SHF327695:SHG327695 SRB327695:SRC327695 TAX327695:TAY327695 TKT327695:TKU327695 TUP327695:TUQ327695 UEL327695:UEM327695 UOH327695:UOI327695 UYD327695:UYE327695 VHZ327695:VIA327695 VRV327695:VRW327695 WBR327695:WBS327695 WLN327695:WLO327695 WVJ327695:WVK327695 B393231:C393231 IX393231:IY393231 ST393231:SU393231 ACP393231:ACQ393231 AML393231:AMM393231 AWH393231:AWI393231 BGD393231:BGE393231 BPZ393231:BQA393231 BZV393231:BZW393231 CJR393231:CJS393231 CTN393231:CTO393231 DDJ393231:DDK393231 DNF393231:DNG393231 DXB393231:DXC393231 EGX393231:EGY393231 EQT393231:EQU393231 FAP393231:FAQ393231 FKL393231:FKM393231 FUH393231:FUI393231 GED393231:GEE393231 GNZ393231:GOA393231 GXV393231:GXW393231 HHR393231:HHS393231 HRN393231:HRO393231 IBJ393231:IBK393231 ILF393231:ILG393231 IVB393231:IVC393231 JEX393231:JEY393231 JOT393231:JOU393231 JYP393231:JYQ393231 KIL393231:KIM393231 KSH393231:KSI393231 LCD393231:LCE393231 LLZ393231:LMA393231 LVV393231:LVW393231 MFR393231:MFS393231 MPN393231:MPO393231 MZJ393231:MZK393231 NJF393231:NJG393231 NTB393231:NTC393231 OCX393231:OCY393231 OMT393231:OMU393231 OWP393231:OWQ393231 PGL393231:PGM393231 PQH393231:PQI393231 QAD393231:QAE393231 QJZ393231:QKA393231 QTV393231:QTW393231 RDR393231:RDS393231 RNN393231:RNO393231 RXJ393231:RXK393231 SHF393231:SHG393231 SRB393231:SRC393231 TAX393231:TAY393231 TKT393231:TKU393231 TUP393231:TUQ393231 UEL393231:UEM393231 UOH393231:UOI393231 UYD393231:UYE393231 VHZ393231:VIA393231 VRV393231:VRW393231 WBR393231:WBS393231 WLN393231:WLO393231 WVJ393231:WVK393231 B458767:C458767 IX458767:IY458767 ST458767:SU458767 ACP458767:ACQ458767 AML458767:AMM458767 AWH458767:AWI458767 BGD458767:BGE458767 BPZ458767:BQA458767 BZV458767:BZW458767 CJR458767:CJS458767 CTN458767:CTO458767 DDJ458767:DDK458767 DNF458767:DNG458767 DXB458767:DXC458767 EGX458767:EGY458767 EQT458767:EQU458767 FAP458767:FAQ458767 FKL458767:FKM458767 FUH458767:FUI458767 GED458767:GEE458767 GNZ458767:GOA458767 GXV458767:GXW458767 HHR458767:HHS458767 HRN458767:HRO458767 IBJ458767:IBK458767 ILF458767:ILG458767 IVB458767:IVC458767 JEX458767:JEY458767 JOT458767:JOU458767 JYP458767:JYQ458767 KIL458767:KIM458767 KSH458767:KSI458767 LCD458767:LCE458767 LLZ458767:LMA458767 LVV458767:LVW458767 MFR458767:MFS458767 MPN458767:MPO458767 MZJ458767:MZK458767 NJF458767:NJG458767 NTB458767:NTC458767 OCX458767:OCY458767 OMT458767:OMU458767 OWP458767:OWQ458767 PGL458767:PGM458767 PQH458767:PQI458767 QAD458767:QAE458767 QJZ458767:QKA458767 QTV458767:QTW458767 RDR458767:RDS458767 RNN458767:RNO458767 RXJ458767:RXK458767 SHF458767:SHG458767 SRB458767:SRC458767 TAX458767:TAY458767 TKT458767:TKU458767 TUP458767:TUQ458767 UEL458767:UEM458767 UOH458767:UOI458767 UYD458767:UYE458767 VHZ458767:VIA458767 VRV458767:VRW458767 WBR458767:WBS458767 WLN458767:WLO458767 WVJ458767:WVK458767 B524303:C524303 IX524303:IY524303 ST524303:SU524303 ACP524303:ACQ524303 AML524303:AMM524303 AWH524303:AWI524303 BGD524303:BGE524303 BPZ524303:BQA524303 BZV524303:BZW524303 CJR524303:CJS524303 CTN524303:CTO524303 DDJ524303:DDK524303 DNF524303:DNG524303 DXB524303:DXC524303 EGX524303:EGY524303 EQT524303:EQU524303 FAP524303:FAQ524303 FKL524303:FKM524303 FUH524303:FUI524303 GED524303:GEE524303 GNZ524303:GOA524303 GXV524303:GXW524303 HHR524303:HHS524303 HRN524303:HRO524303 IBJ524303:IBK524303 ILF524303:ILG524303 IVB524303:IVC524303 JEX524303:JEY524303 JOT524303:JOU524303 JYP524303:JYQ524303 KIL524303:KIM524303 KSH524303:KSI524303 LCD524303:LCE524303 LLZ524303:LMA524303 LVV524303:LVW524303 MFR524303:MFS524303 MPN524303:MPO524303 MZJ524303:MZK524303 NJF524303:NJG524303 NTB524303:NTC524303 OCX524303:OCY524303 OMT524303:OMU524303 OWP524303:OWQ524303 PGL524303:PGM524303 PQH524303:PQI524303 QAD524303:QAE524303 QJZ524303:QKA524303 QTV524303:QTW524303 RDR524303:RDS524303 RNN524303:RNO524303 RXJ524303:RXK524303 SHF524303:SHG524303 SRB524303:SRC524303 TAX524303:TAY524303 TKT524303:TKU524303 TUP524303:TUQ524303 UEL524303:UEM524303 UOH524303:UOI524303 UYD524303:UYE524303 VHZ524303:VIA524303 VRV524303:VRW524303 WBR524303:WBS524303 WLN524303:WLO524303 WVJ524303:WVK524303 B589839:C589839 IX589839:IY589839 ST589839:SU589839 ACP589839:ACQ589839 AML589839:AMM589839 AWH589839:AWI589839 BGD589839:BGE589839 BPZ589839:BQA589839 BZV589839:BZW589839 CJR589839:CJS589839 CTN589839:CTO589839 DDJ589839:DDK589839 DNF589839:DNG589839 DXB589839:DXC589839 EGX589839:EGY589839 EQT589839:EQU589839 FAP589839:FAQ589839 FKL589839:FKM589839 FUH589839:FUI589839 GED589839:GEE589839 GNZ589839:GOA589839 GXV589839:GXW589839 HHR589839:HHS589839 HRN589839:HRO589839 IBJ589839:IBK589839 ILF589839:ILG589839 IVB589839:IVC589839 JEX589839:JEY589839 JOT589839:JOU589839 JYP589839:JYQ589839 KIL589839:KIM589839 KSH589839:KSI589839 LCD589839:LCE589839 LLZ589839:LMA589839 LVV589839:LVW589839 MFR589839:MFS589839 MPN589839:MPO589839 MZJ589839:MZK589839 NJF589839:NJG589839 NTB589839:NTC589839 OCX589839:OCY589839 OMT589839:OMU589839 OWP589839:OWQ589839 PGL589839:PGM589839 PQH589839:PQI589839 QAD589839:QAE589839 QJZ589839:QKA589839 QTV589839:QTW589839 RDR589839:RDS589839 RNN589839:RNO589839 RXJ589839:RXK589839 SHF589839:SHG589839 SRB589839:SRC589839 TAX589839:TAY589839 TKT589839:TKU589839 TUP589839:TUQ589839 UEL589839:UEM589839 UOH589839:UOI589839 UYD589839:UYE589839 VHZ589839:VIA589839 VRV589839:VRW589839 WBR589839:WBS589839 WLN589839:WLO589839 WVJ589839:WVK589839 B655375:C655375 IX655375:IY655375 ST655375:SU655375 ACP655375:ACQ655375 AML655375:AMM655375 AWH655375:AWI655375 BGD655375:BGE655375 BPZ655375:BQA655375 BZV655375:BZW655375 CJR655375:CJS655375 CTN655375:CTO655375 DDJ655375:DDK655375 DNF655375:DNG655375 DXB655375:DXC655375 EGX655375:EGY655375 EQT655375:EQU655375 FAP655375:FAQ655375 FKL655375:FKM655375 FUH655375:FUI655375 GED655375:GEE655375 GNZ655375:GOA655375 GXV655375:GXW655375 HHR655375:HHS655375 HRN655375:HRO655375 IBJ655375:IBK655375 ILF655375:ILG655375 IVB655375:IVC655375 JEX655375:JEY655375 JOT655375:JOU655375 JYP655375:JYQ655375 KIL655375:KIM655375 KSH655375:KSI655375 LCD655375:LCE655375 LLZ655375:LMA655375 LVV655375:LVW655375 MFR655375:MFS655375 MPN655375:MPO655375 MZJ655375:MZK655375 NJF655375:NJG655375 NTB655375:NTC655375 OCX655375:OCY655375 OMT655375:OMU655375 OWP655375:OWQ655375 PGL655375:PGM655375 PQH655375:PQI655375 QAD655375:QAE655375 QJZ655375:QKA655375 QTV655375:QTW655375 RDR655375:RDS655375 RNN655375:RNO655375 RXJ655375:RXK655375 SHF655375:SHG655375 SRB655375:SRC655375 TAX655375:TAY655375 TKT655375:TKU655375 TUP655375:TUQ655375 UEL655375:UEM655375 UOH655375:UOI655375 UYD655375:UYE655375 VHZ655375:VIA655375 VRV655375:VRW655375 WBR655375:WBS655375 WLN655375:WLO655375 WVJ655375:WVK655375 B720911:C720911 IX720911:IY720911 ST720911:SU720911 ACP720911:ACQ720911 AML720911:AMM720911 AWH720911:AWI720911 BGD720911:BGE720911 BPZ720911:BQA720911 BZV720911:BZW720911 CJR720911:CJS720911 CTN720911:CTO720911 DDJ720911:DDK720911 DNF720911:DNG720911 DXB720911:DXC720911 EGX720911:EGY720911 EQT720911:EQU720911 FAP720911:FAQ720911 FKL720911:FKM720911 FUH720911:FUI720911 GED720911:GEE720911 GNZ720911:GOA720911 GXV720911:GXW720911 HHR720911:HHS720911 HRN720911:HRO720911 IBJ720911:IBK720911 ILF720911:ILG720911 IVB720911:IVC720911 JEX720911:JEY720911 JOT720911:JOU720911 JYP720911:JYQ720911 KIL720911:KIM720911 KSH720911:KSI720911 LCD720911:LCE720911 LLZ720911:LMA720911 LVV720911:LVW720911 MFR720911:MFS720911 MPN720911:MPO720911 MZJ720911:MZK720911 NJF720911:NJG720911 NTB720911:NTC720911 OCX720911:OCY720911 OMT720911:OMU720911 OWP720911:OWQ720911 PGL720911:PGM720911 PQH720911:PQI720911 QAD720911:QAE720911 QJZ720911:QKA720911 QTV720911:QTW720911 RDR720911:RDS720911 RNN720911:RNO720911 RXJ720911:RXK720911 SHF720911:SHG720911 SRB720911:SRC720911 TAX720911:TAY720911 TKT720911:TKU720911 TUP720911:TUQ720911 UEL720911:UEM720911 UOH720911:UOI720911 UYD720911:UYE720911 VHZ720911:VIA720911 VRV720911:VRW720911 WBR720911:WBS720911 WLN720911:WLO720911 WVJ720911:WVK720911 B786447:C786447 IX786447:IY786447 ST786447:SU786447 ACP786447:ACQ786447 AML786447:AMM786447 AWH786447:AWI786447 BGD786447:BGE786447 BPZ786447:BQA786447 BZV786447:BZW786447 CJR786447:CJS786447 CTN786447:CTO786447 DDJ786447:DDK786447 DNF786447:DNG786447 DXB786447:DXC786447 EGX786447:EGY786447 EQT786447:EQU786447 FAP786447:FAQ786447 FKL786447:FKM786447 FUH786447:FUI786447 GED786447:GEE786447 GNZ786447:GOA786447 GXV786447:GXW786447 HHR786447:HHS786447 HRN786447:HRO786447 IBJ786447:IBK786447 ILF786447:ILG786447 IVB786447:IVC786447 JEX786447:JEY786447 JOT786447:JOU786447 JYP786447:JYQ786447 KIL786447:KIM786447 KSH786447:KSI786447 LCD786447:LCE786447 LLZ786447:LMA786447 LVV786447:LVW786447 MFR786447:MFS786447 MPN786447:MPO786447 MZJ786447:MZK786447 NJF786447:NJG786447 NTB786447:NTC786447 OCX786447:OCY786447 OMT786447:OMU786447 OWP786447:OWQ786447 PGL786447:PGM786447 PQH786447:PQI786447 QAD786447:QAE786447 QJZ786447:QKA786447 QTV786447:QTW786447 RDR786447:RDS786447 RNN786447:RNO786447 RXJ786447:RXK786447 SHF786447:SHG786447 SRB786447:SRC786447 TAX786447:TAY786447 TKT786447:TKU786447 TUP786447:TUQ786447 UEL786447:UEM786447 UOH786447:UOI786447 UYD786447:UYE786447 VHZ786447:VIA786447 VRV786447:VRW786447 WBR786447:WBS786447 WLN786447:WLO786447 WVJ786447:WVK786447 B851983:C851983 IX851983:IY851983 ST851983:SU851983 ACP851983:ACQ851983 AML851983:AMM851983 AWH851983:AWI851983 BGD851983:BGE851983 BPZ851983:BQA851983 BZV851983:BZW851983 CJR851983:CJS851983 CTN851983:CTO851983 DDJ851983:DDK851983 DNF851983:DNG851983 DXB851983:DXC851983 EGX851983:EGY851983 EQT851983:EQU851983 FAP851983:FAQ851983 FKL851983:FKM851983 FUH851983:FUI851983 GED851983:GEE851983 GNZ851983:GOA851983 GXV851983:GXW851983 HHR851983:HHS851983 HRN851983:HRO851983 IBJ851983:IBK851983 ILF851983:ILG851983 IVB851983:IVC851983 JEX851983:JEY851983 JOT851983:JOU851983 JYP851983:JYQ851983 KIL851983:KIM851983 KSH851983:KSI851983 LCD851983:LCE851983 LLZ851983:LMA851983 LVV851983:LVW851983 MFR851983:MFS851983 MPN851983:MPO851983 MZJ851983:MZK851983 NJF851983:NJG851983 NTB851983:NTC851983 OCX851983:OCY851983 OMT851983:OMU851983 OWP851983:OWQ851983 PGL851983:PGM851983 PQH851983:PQI851983 QAD851983:QAE851983 QJZ851983:QKA851983 QTV851983:QTW851983 RDR851983:RDS851983 RNN851983:RNO851983 RXJ851983:RXK851983 SHF851983:SHG851983 SRB851983:SRC851983 TAX851983:TAY851983 TKT851983:TKU851983 TUP851983:TUQ851983 UEL851983:UEM851983 UOH851983:UOI851983 UYD851983:UYE851983 VHZ851983:VIA851983 VRV851983:VRW851983 WBR851983:WBS851983 WLN851983:WLO851983 WVJ851983:WVK851983 B917519:C917519 IX917519:IY917519 ST917519:SU917519 ACP917519:ACQ917519 AML917519:AMM917519 AWH917519:AWI917519 BGD917519:BGE917519 BPZ917519:BQA917519 BZV917519:BZW917519 CJR917519:CJS917519 CTN917519:CTO917519 DDJ917519:DDK917519 DNF917519:DNG917519 DXB917519:DXC917519 EGX917519:EGY917519 EQT917519:EQU917519 FAP917519:FAQ917519 FKL917519:FKM917519 FUH917519:FUI917519 GED917519:GEE917519 GNZ917519:GOA917519 GXV917519:GXW917519 HHR917519:HHS917519 HRN917519:HRO917519 IBJ917519:IBK917519 ILF917519:ILG917519 IVB917519:IVC917519 JEX917519:JEY917519 JOT917519:JOU917519 JYP917519:JYQ917519 KIL917519:KIM917519 KSH917519:KSI917519 LCD917519:LCE917519 LLZ917519:LMA917519 LVV917519:LVW917519 MFR917519:MFS917519 MPN917519:MPO917519 MZJ917519:MZK917519 NJF917519:NJG917519 NTB917519:NTC917519 OCX917519:OCY917519 OMT917519:OMU917519 OWP917519:OWQ917519 PGL917519:PGM917519 PQH917519:PQI917519 QAD917519:QAE917519 QJZ917519:QKA917519 QTV917519:QTW917519 RDR917519:RDS917519 RNN917519:RNO917519 RXJ917519:RXK917519 SHF917519:SHG917519 SRB917519:SRC917519 TAX917519:TAY917519 TKT917519:TKU917519 TUP917519:TUQ917519 UEL917519:UEM917519 UOH917519:UOI917519 UYD917519:UYE917519 VHZ917519:VIA917519 VRV917519:VRW917519 WBR917519:WBS917519 WLN917519:WLO917519 WVJ917519:WVK917519 B983055:C983055 IX983055:IY983055 ST983055:SU983055 ACP983055:ACQ983055 AML983055:AMM983055 AWH983055:AWI983055 BGD983055:BGE983055 BPZ983055:BQA983055 BZV983055:BZW983055 CJR983055:CJS983055 CTN983055:CTO983055 DDJ983055:DDK983055 DNF983055:DNG983055 DXB983055:DXC983055 EGX983055:EGY983055 EQT983055:EQU983055 FAP983055:FAQ983055 FKL983055:FKM983055 FUH983055:FUI983055 GED983055:GEE983055 GNZ983055:GOA983055 GXV983055:GXW983055 HHR983055:HHS983055 HRN983055:HRO983055 IBJ983055:IBK983055 ILF983055:ILG983055 IVB983055:IVC983055 JEX983055:JEY983055 JOT983055:JOU983055 JYP983055:JYQ983055 KIL983055:KIM983055 KSH983055:KSI983055 LCD983055:LCE983055 LLZ983055:LMA983055 LVV983055:LVW983055 MFR983055:MFS983055 MPN983055:MPO983055 MZJ983055:MZK983055 NJF983055:NJG983055 NTB983055:NTC983055 OCX983055:OCY983055 OMT983055:OMU983055 OWP983055:OWQ983055 PGL983055:PGM983055 PQH983055:PQI983055 QAD983055:QAE983055 QJZ983055:QKA983055 QTV983055:QTW983055 RDR983055:RDS983055 RNN983055:RNO983055 RXJ983055:RXK983055 SHF983055:SHG983055 SRB983055:SRC983055 TAX983055:TAY983055 TKT983055:TKU983055 TUP983055:TUQ983055 UEL983055:UEM983055 UOH983055:UOI983055 UYD983055:UYE983055 VHZ983055:VIA983055 VRV983055:VRW983055 WBR983055:WBS983055 WLN983055:WLO983055 WVJ983055:WVK983055">
      <formula1>$L$15:$L$16</formula1>
    </dataValidation>
    <dataValidation type="list" allowBlank="1" showInputMessage="1" showErrorMessage="1" errorTitle="Error message" error="Type not valid!" sqref="B2:C6 B10:C12 B14:C15">
      <formula1>$L$1:$L$2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20"/>
  <sheetViews>
    <sheetView showGridLines="0" topLeftCell="A7" workbookViewId="0">
      <selection activeCell="A44" sqref="A44"/>
    </sheetView>
  </sheetViews>
  <sheetFormatPr baseColWidth="10" defaultColWidth="9.140625" defaultRowHeight="12.75"/>
  <cols>
    <col min="1" max="1" width="67.85546875" customWidth="1"/>
  </cols>
  <sheetData>
    <row r="1" spans="1:1" ht="13.5" thickBot="1">
      <c r="A1" s="105" t="s">
        <v>305</v>
      </c>
    </row>
    <row r="2" spans="1:1">
      <c r="A2" s="106" t="s">
        <v>96</v>
      </c>
    </row>
    <row r="3" spans="1:1">
      <c r="A3" s="107" t="s">
        <v>97</v>
      </c>
    </row>
    <row r="4" spans="1:1">
      <c r="A4" s="107" t="s">
        <v>98</v>
      </c>
    </row>
    <row r="5" spans="1:1">
      <c r="A5" s="107" t="s">
        <v>99</v>
      </c>
    </row>
    <row r="6" spans="1:1">
      <c r="A6" s="107" t="s">
        <v>90</v>
      </c>
    </row>
    <row r="7" spans="1:1">
      <c r="A7" s="107" t="s">
        <v>100</v>
      </c>
    </row>
    <row r="8" spans="1:1">
      <c r="A8" s="107" t="s">
        <v>101</v>
      </c>
    </row>
    <row r="9" spans="1:1">
      <c r="A9" s="107" t="s">
        <v>102</v>
      </c>
    </row>
    <row r="10" spans="1:1">
      <c r="A10" s="107" t="s">
        <v>103</v>
      </c>
    </row>
    <row r="11" spans="1:1">
      <c r="A11" s="107" t="s">
        <v>104</v>
      </c>
    </row>
    <row r="12" spans="1:1">
      <c r="A12" s="107" t="s">
        <v>105</v>
      </c>
    </row>
    <row r="13" spans="1:1">
      <c r="A13" s="107" t="s">
        <v>106</v>
      </c>
    </row>
    <row r="14" spans="1:1">
      <c r="A14" s="107" t="s">
        <v>107</v>
      </c>
    </row>
    <row r="15" spans="1:1">
      <c r="A15" s="107" t="s">
        <v>108</v>
      </c>
    </row>
    <row r="16" spans="1:1">
      <c r="A16" s="107" t="s">
        <v>109</v>
      </c>
    </row>
    <row r="17" spans="1:1">
      <c r="A17" s="107" t="s">
        <v>110</v>
      </c>
    </row>
    <row r="18" spans="1:1">
      <c r="A18" s="107" t="s">
        <v>111</v>
      </c>
    </row>
    <row r="19" spans="1:1">
      <c r="A19" s="107" t="s">
        <v>112</v>
      </c>
    </row>
    <row r="20" spans="1:1">
      <c r="A20" s="107" t="s">
        <v>113</v>
      </c>
    </row>
    <row r="21" spans="1:1">
      <c r="A21" s="107" t="s">
        <v>114</v>
      </c>
    </row>
    <row r="22" spans="1:1">
      <c r="A22" s="107" t="s">
        <v>115</v>
      </c>
    </row>
    <row r="23" spans="1:1">
      <c r="A23" s="107" t="s">
        <v>116</v>
      </c>
    </row>
    <row r="24" spans="1:1">
      <c r="A24" s="107" t="s">
        <v>117</v>
      </c>
    </row>
    <row r="25" spans="1:1">
      <c r="A25" s="107" t="s">
        <v>118</v>
      </c>
    </row>
    <row r="26" spans="1:1">
      <c r="A26" s="107" t="s">
        <v>413</v>
      </c>
    </row>
    <row r="27" spans="1:1">
      <c r="A27" s="107" t="s">
        <v>119</v>
      </c>
    </row>
    <row r="28" spans="1:1">
      <c r="A28" s="107" t="s">
        <v>120</v>
      </c>
    </row>
    <row r="29" spans="1:1">
      <c r="A29" s="107" t="s">
        <v>121</v>
      </c>
    </row>
    <row r="30" spans="1:1">
      <c r="A30" s="107" t="s">
        <v>122</v>
      </c>
    </row>
    <row r="31" spans="1:1">
      <c r="A31" s="107" t="s">
        <v>123</v>
      </c>
    </row>
    <row r="32" spans="1:1">
      <c r="A32" s="107" t="s">
        <v>124</v>
      </c>
    </row>
    <row r="33" spans="1:1">
      <c r="A33" s="107" t="s">
        <v>125</v>
      </c>
    </row>
    <row r="34" spans="1:1">
      <c r="A34" s="107" t="s">
        <v>126</v>
      </c>
    </row>
    <row r="35" spans="1:1">
      <c r="A35" s="107" t="s">
        <v>127</v>
      </c>
    </row>
    <row r="36" spans="1:1">
      <c r="A36" s="107" t="s">
        <v>128</v>
      </c>
    </row>
    <row r="37" spans="1:1">
      <c r="A37" s="107" t="s">
        <v>129</v>
      </c>
    </row>
    <row r="38" spans="1:1">
      <c r="A38" s="107" t="s">
        <v>130</v>
      </c>
    </row>
    <row r="39" spans="1:1">
      <c r="A39" s="107" t="s">
        <v>131</v>
      </c>
    </row>
    <row r="40" spans="1:1">
      <c r="A40" s="107" t="s">
        <v>132</v>
      </c>
    </row>
    <row r="41" spans="1:1">
      <c r="A41" s="107" t="s">
        <v>133</v>
      </c>
    </row>
    <row r="42" spans="1:1">
      <c r="A42" s="107" t="s">
        <v>134</v>
      </c>
    </row>
    <row r="43" spans="1:1">
      <c r="A43" s="107" t="s">
        <v>135</v>
      </c>
    </row>
    <row r="44" spans="1:1">
      <c r="A44" s="107" t="s">
        <v>136</v>
      </c>
    </row>
    <row r="45" spans="1:1">
      <c r="A45" s="107" t="s">
        <v>137</v>
      </c>
    </row>
    <row r="46" spans="1:1">
      <c r="A46" s="107" t="s">
        <v>138</v>
      </c>
    </row>
    <row r="47" spans="1:1">
      <c r="A47" s="107" t="s">
        <v>139</v>
      </c>
    </row>
    <row r="48" spans="1:1">
      <c r="A48" s="107" t="s">
        <v>140</v>
      </c>
    </row>
    <row r="49" spans="1:1">
      <c r="A49" s="107" t="s">
        <v>141</v>
      </c>
    </row>
    <row r="50" spans="1:1">
      <c r="A50" s="107" t="s">
        <v>142</v>
      </c>
    </row>
    <row r="51" spans="1:1">
      <c r="A51" s="107" t="s">
        <v>143</v>
      </c>
    </row>
    <row r="52" spans="1:1">
      <c r="A52" s="107" t="s">
        <v>144</v>
      </c>
    </row>
    <row r="53" spans="1:1">
      <c r="A53" s="107" t="s">
        <v>145</v>
      </c>
    </row>
    <row r="54" spans="1:1">
      <c r="A54" s="107" t="s">
        <v>146</v>
      </c>
    </row>
    <row r="55" spans="1:1">
      <c r="A55" s="107" t="s">
        <v>147</v>
      </c>
    </row>
    <row r="56" spans="1:1">
      <c r="A56" s="107" t="s">
        <v>148</v>
      </c>
    </row>
    <row r="57" spans="1:1">
      <c r="A57" s="107" t="s">
        <v>149</v>
      </c>
    </row>
    <row r="58" spans="1:1">
      <c r="A58" s="107" t="s">
        <v>150</v>
      </c>
    </row>
    <row r="59" spans="1:1">
      <c r="A59" s="107" t="s">
        <v>151</v>
      </c>
    </row>
    <row r="60" spans="1:1">
      <c r="A60" s="107" t="s">
        <v>152</v>
      </c>
    </row>
    <row r="61" spans="1:1">
      <c r="A61" s="107" t="s">
        <v>153</v>
      </c>
    </row>
    <row r="62" spans="1:1">
      <c r="A62" s="107" t="s">
        <v>154</v>
      </c>
    </row>
    <row r="63" spans="1:1">
      <c r="A63" s="107" t="s">
        <v>155</v>
      </c>
    </row>
    <row r="64" spans="1:1">
      <c r="A64" s="107" t="s">
        <v>156</v>
      </c>
    </row>
    <row r="65" spans="1:1">
      <c r="A65" s="107" t="s">
        <v>157</v>
      </c>
    </row>
    <row r="66" spans="1:1">
      <c r="A66" s="107" t="s">
        <v>158</v>
      </c>
    </row>
    <row r="67" spans="1:1">
      <c r="A67" s="107" t="s">
        <v>159</v>
      </c>
    </row>
    <row r="68" spans="1:1">
      <c r="A68" s="107" t="s">
        <v>160</v>
      </c>
    </row>
    <row r="69" spans="1:1">
      <c r="A69" s="107" t="s">
        <v>88</v>
      </c>
    </row>
    <row r="70" spans="1:1">
      <c r="A70" s="107" t="s">
        <v>161</v>
      </c>
    </row>
    <row r="71" spans="1:1">
      <c r="A71" s="107" t="s">
        <v>162</v>
      </c>
    </row>
    <row r="72" spans="1:1">
      <c r="A72" s="107" t="s">
        <v>163</v>
      </c>
    </row>
    <row r="73" spans="1:1">
      <c r="A73" s="107" t="s">
        <v>164</v>
      </c>
    </row>
    <row r="74" spans="1:1">
      <c r="A74" s="107" t="s">
        <v>165</v>
      </c>
    </row>
    <row r="75" spans="1:1">
      <c r="A75" s="107" t="s">
        <v>87</v>
      </c>
    </row>
    <row r="76" spans="1:1">
      <c r="A76" s="107" t="s">
        <v>166</v>
      </c>
    </row>
    <row r="77" spans="1:1">
      <c r="A77" s="107" t="s">
        <v>167</v>
      </c>
    </row>
    <row r="78" spans="1:1">
      <c r="A78" s="107" t="s">
        <v>168</v>
      </c>
    </row>
    <row r="79" spans="1:1">
      <c r="A79" s="107" t="s">
        <v>169</v>
      </c>
    </row>
    <row r="80" spans="1:1">
      <c r="A80" s="107" t="s">
        <v>170</v>
      </c>
    </row>
    <row r="81" spans="1:1">
      <c r="A81" s="107" t="s">
        <v>171</v>
      </c>
    </row>
    <row r="82" spans="1:1">
      <c r="A82" s="107" t="s">
        <v>172</v>
      </c>
    </row>
    <row r="83" spans="1:1">
      <c r="A83" s="107" t="s">
        <v>173</v>
      </c>
    </row>
    <row r="84" spans="1:1">
      <c r="A84" s="107" t="s">
        <v>174</v>
      </c>
    </row>
    <row r="85" spans="1:1">
      <c r="A85" s="107" t="s">
        <v>175</v>
      </c>
    </row>
    <row r="86" spans="1:1">
      <c r="A86" s="107" t="s">
        <v>176</v>
      </c>
    </row>
    <row r="87" spans="1:1">
      <c r="A87" s="107" t="s">
        <v>177</v>
      </c>
    </row>
    <row r="88" spans="1:1">
      <c r="A88" s="107" t="s">
        <v>178</v>
      </c>
    </row>
    <row r="89" spans="1:1">
      <c r="A89" s="107" t="s">
        <v>179</v>
      </c>
    </row>
    <row r="90" spans="1:1">
      <c r="A90" s="107" t="s">
        <v>180</v>
      </c>
    </row>
    <row r="91" spans="1:1">
      <c r="A91" s="107" t="s">
        <v>181</v>
      </c>
    </row>
    <row r="92" spans="1:1">
      <c r="A92" s="107" t="s">
        <v>182</v>
      </c>
    </row>
    <row r="93" spans="1:1">
      <c r="A93" s="107" t="s">
        <v>183</v>
      </c>
    </row>
    <row r="94" spans="1:1">
      <c r="A94" s="107" t="s">
        <v>184</v>
      </c>
    </row>
    <row r="95" spans="1:1">
      <c r="A95" s="107" t="s">
        <v>185</v>
      </c>
    </row>
    <row r="96" spans="1:1">
      <c r="A96" s="107" t="s">
        <v>186</v>
      </c>
    </row>
    <row r="97" spans="1:1">
      <c r="A97" s="107" t="s">
        <v>187</v>
      </c>
    </row>
    <row r="98" spans="1:1">
      <c r="A98" s="107" t="s">
        <v>188</v>
      </c>
    </row>
    <row r="99" spans="1:1">
      <c r="A99" s="107" t="s">
        <v>189</v>
      </c>
    </row>
    <row r="100" spans="1:1">
      <c r="A100" s="107" t="s">
        <v>86</v>
      </c>
    </row>
    <row r="101" spans="1:1">
      <c r="A101" s="107" t="s">
        <v>190</v>
      </c>
    </row>
    <row r="102" spans="1:1">
      <c r="A102" s="107" t="s">
        <v>191</v>
      </c>
    </row>
    <row r="103" spans="1:1">
      <c r="A103" s="107" t="s">
        <v>192</v>
      </c>
    </row>
    <row r="104" spans="1:1">
      <c r="A104" s="107" t="s">
        <v>193</v>
      </c>
    </row>
    <row r="105" spans="1:1">
      <c r="A105" s="107" t="s">
        <v>194</v>
      </c>
    </row>
    <row r="106" spans="1:1">
      <c r="A106" s="107" t="s">
        <v>195</v>
      </c>
    </row>
    <row r="107" spans="1:1">
      <c r="A107" s="107" t="s">
        <v>196</v>
      </c>
    </row>
    <row r="108" spans="1:1">
      <c r="A108" s="107" t="s">
        <v>197</v>
      </c>
    </row>
    <row r="109" spans="1:1">
      <c r="A109" s="107" t="s">
        <v>198</v>
      </c>
    </row>
    <row r="110" spans="1:1">
      <c r="A110" s="107" t="s">
        <v>199</v>
      </c>
    </row>
    <row r="111" spans="1:1">
      <c r="A111" s="107" t="s">
        <v>200</v>
      </c>
    </row>
    <row r="112" spans="1:1">
      <c r="A112" s="107" t="s">
        <v>201</v>
      </c>
    </row>
    <row r="113" spans="1:1">
      <c r="A113" s="107" t="s">
        <v>202</v>
      </c>
    </row>
    <row r="114" spans="1:1">
      <c r="A114" s="107" t="s">
        <v>203</v>
      </c>
    </row>
    <row r="115" spans="1:1">
      <c r="A115" s="107" t="s">
        <v>204</v>
      </c>
    </row>
    <row r="116" spans="1:1">
      <c r="A116" s="107" t="s">
        <v>205</v>
      </c>
    </row>
    <row r="117" spans="1:1">
      <c r="A117" s="107" t="s">
        <v>206</v>
      </c>
    </row>
    <row r="118" spans="1:1">
      <c r="A118" s="107" t="s">
        <v>207</v>
      </c>
    </row>
    <row r="119" spans="1:1">
      <c r="A119" s="107" t="s">
        <v>208</v>
      </c>
    </row>
    <row r="120" spans="1:1">
      <c r="A120" s="107" t="s">
        <v>209</v>
      </c>
    </row>
    <row r="121" spans="1:1">
      <c r="A121" s="107" t="s">
        <v>210</v>
      </c>
    </row>
    <row r="122" spans="1:1">
      <c r="A122" s="107" t="s">
        <v>211</v>
      </c>
    </row>
    <row r="123" spans="1:1">
      <c r="A123" s="107" t="s">
        <v>212</v>
      </c>
    </row>
    <row r="124" spans="1:1">
      <c r="A124" s="107" t="s">
        <v>213</v>
      </c>
    </row>
    <row r="125" spans="1:1">
      <c r="A125" s="107" t="s">
        <v>214</v>
      </c>
    </row>
    <row r="126" spans="1:1">
      <c r="A126" s="107" t="s">
        <v>215</v>
      </c>
    </row>
    <row r="127" spans="1:1">
      <c r="A127" s="107" t="s">
        <v>216</v>
      </c>
    </row>
    <row r="128" spans="1:1">
      <c r="A128" s="107" t="s">
        <v>217</v>
      </c>
    </row>
    <row r="129" spans="1:1">
      <c r="A129" s="107" t="s">
        <v>218</v>
      </c>
    </row>
    <row r="130" spans="1:1">
      <c r="A130" s="107" t="s">
        <v>219</v>
      </c>
    </row>
    <row r="131" spans="1:1">
      <c r="A131" s="107" t="s">
        <v>220</v>
      </c>
    </row>
    <row r="132" spans="1:1">
      <c r="A132" s="107" t="s">
        <v>221</v>
      </c>
    </row>
    <row r="133" spans="1:1">
      <c r="A133" s="107" t="s">
        <v>222</v>
      </c>
    </row>
    <row r="134" spans="1:1">
      <c r="A134" s="107" t="s">
        <v>223</v>
      </c>
    </row>
    <row r="135" spans="1:1">
      <c r="A135" s="107" t="s">
        <v>224</v>
      </c>
    </row>
    <row r="136" spans="1:1">
      <c r="A136" s="107" t="s">
        <v>306</v>
      </c>
    </row>
    <row r="137" spans="1:1">
      <c r="A137" s="107" t="s">
        <v>225</v>
      </c>
    </row>
    <row r="138" spans="1:1">
      <c r="A138" s="107" t="s">
        <v>226</v>
      </c>
    </row>
    <row r="139" spans="1:1">
      <c r="A139" s="107" t="s">
        <v>414</v>
      </c>
    </row>
    <row r="140" spans="1:1">
      <c r="A140" s="107" t="s">
        <v>227</v>
      </c>
    </row>
    <row r="141" spans="1:1">
      <c r="A141" s="107" t="s">
        <v>228</v>
      </c>
    </row>
    <row r="142" spans="1:1">
      <c r="A142" s="107" t="s">
        <v>229</v>
      </c>
    </row>
    <row r="143" spans="1:1">
      <c r="A143" s="107" t="s">
        <v>230</v>
      </c>
    </row>
    <row r="144" spans="1:1">
      <c r="A144" s="107" t="s">
        <v>231</v>
      </c>
    </row>
    <row r="145" spans="1:1">
      <c r="A145" s="107" t="s">
        <v>232</v>
      </c>
    </row>
    <row r="146" spans="1:1">
      <c r="A146" s="107" t="s">
        <v>233</v>
      </c>
    </row>
    <row r="147" spans="1:1">
      <c r="A147" s="107" t="s">
        <v>234</v>
      </c>
    </row>
    <row r="148" spans="1:1">
      <c r="A148" s="107" t="s">
        <v>235</v>
      </c>
    </row>
    <row r="149" spans="1:1">
      <c r="A149" s="107" t="s">
        <v>236</v>
      </c>
    </row>
    <row r="150" spans="1:1">
      <c r="A150" s="107" t="s">
        <v>237</v>
      </c>
    </row>
    <row r="151" spans="1:1">
      <c r="A151" s="107" t="s">
        <v>238</v>
      </c>
    </row>
    <row r="152" spans="1:1">
      <c r="A152" s="107" t="s">
        <v>239</v>
      </c>
    </row>
    <row r="153" spans="1:1">
      <c r="A153" s="107" t="s">
        <v>240</v>
      </c>
    </row>
    <row r="154" spans="1:1">
      <c r="A154" s="107" t="s">
        <v>415</v>
      </c>
    </row>
    <row r="155" spans="1:1">
      <c r="A155" s="107" t="s">
        <v>241</v>
      </c>
    </row>
    <row r="156" spans="1:1">
      <c r="A156" s="107" t="s">
        <v>242</v>
      </c>
    </row>
    <row r="157" spans="1:1">
      <c r="A157" s="107" t="s">
        <v>243</v>
      </c>
    </row>
    <row r="158" spans="1:1">
      <c r="A158" s="107" t="s">
        <v>244</v>
      </c>
    </row>
    <row r="159" spans="1:1">
      <c r="A159" s="107" t="s">
        <v>245</v>
      </c>
    </row>
    <row r="160" spans="1:1">
      <c r="A160" s="107" t="s">
        <v>246</v>
      </c>
    </row>
    <row r="161" spans="1:1">
      <c r="A161" s="107" t="s">
        <v>247</v>
      </c>
    </row>
    <row r="162" spans="1:1">
      <c r="A162" s="107" t="s">
        <v>248</v>
      </c>
    </row>
    <row r="163" spans="1:1">
      <c r="A163" s="107" t="s">
        <v>249</v>
      </c>
    </row>
    <row r="164" spans="1:1">
      <c r="A164" s="107" t="s">
        <v>250</v>
      </c>
    </row>
    <row r="165" spans="1:1">
      <c r="A165" s="107" t="s">
        <v>251</v>
      </c>
    </row>
    <row r="166" spans="1:1">
      <c r="A166" s="107" t="s">
        <v>252</v>
      </c>
    </row>
    <row r="167" spans="1:1">
      <c r="A167" s="107" t="s">
        <v>253</v>
      </c>
    </row>
    <row r="168" spans="1:1">
      <c r="A168" s="107" t="s">
        <v>254</v>
      </c>
    </row>
    <row r="169" spans="1:1">
      <c r="A169" s="107" t="s">
        <v>255</v>
      </c>
    </row>
    <row r="170" spans="1:1">
      <c r="A170" s="107" t="s">
        <v>256</v>
      </c>
    </row>
    <row r="171" spans="1:1">
      <c r="A171" s="107" t="s">
        <v>257</v>
      </c>
    </row>
    <row r="172" spans="1:1">
      <c r="A172" s="107" t="s">
        <v>258</v>
      </c>
    </row>
    <row r="173" spans="1:1">
      <c r="A173" s="107" t="s">
        <v>259</v>
      </c>
    </row>
    <row r="174" spans="1:1">
      <c r="A174" s="107" t="s">
        <v>91</v>
      </c>
    </row>
    <row r="175" spans="1:1">
      <c r="A175" s="107" t="s">
        <v>260</v>
      </c>
    </row>
    <row r="176" spans="1:1">
      <c r="A176" s="107" t="s">
        <v>307</v>
      </c>
    </row>
    <row r="177" spans="1:1">
      <c r="A177" s="107" t="s">
        <v>261</v>
      </c>
    </row>
    <row r="178" spans="1:1">
      <c r="A178" s="107" t="s">
        <v>262</v>
      </c>
    </row>
    <row r="179" spans="1:1">
      <c r="A179" s="107" t="s">
        <v>263</v>
      </c>
    </row>
    <row r="180" spans="1:1">
      <c r="A180" s="107" t="s">
        <v>264</v>
      </c>
    </row>
    <row r="181" spans="1:1">
      <c r="A181" s="107" t="s">
        <v>265</v>
      </c>
    </row>
    <row r="182" spans="1:1">
      <c r="A182" s="107" t="s">
        <v>266</v>
      </c>
    </row>
    <row r="183" spans="1:1">
      <c r="A183" s="107" t="s">
        <v>267</v>
      </c>
    </row>
    <row r="184" spans="1:1">
      <c r="A184" s="107" t="s">
        <v>268</v>
      </c>
    </row>
    <row r="185" spans="1:1">
      <c r="A185" s="107" t="s">
        <v>416</v>
      </c>
    </row>
    <row r="186" spans="1:1">
      <c r="A186" s="107" t="s">
        <v>89</v>
      </c>
    </row>
    <row r="187" spans="1:1">
      <c r="A187" s="107" t="s">
        <v>269</v>
      </c>
    </row>
    <row r="188" spans="1:1">
      <c r="A188" s="107" t="s">
        <v>270</v>
      </c>
    </row>
    <row r="189" spans="1:1">
      <c r="A189" s="107" t="s">
        <v>271</v>
      </c>
    </row>
    <row r="190" spans="1:1">
      <c r="A190" s="107" t="s">
        <v>272</v>
      </c>
    </row>
    <row r="191" spans="1:1">
      <c r="A191" s="107" t="s">
        <v>273</v>
      </c>
    </row>
    <row r="192" spans="1:1">
      <c r="A192" s="107" t="s">
        <v>274</v>
      </c>
    </row>
    <row r="193" spans="1:1">
      <c r="A193" s="107" t="s">
        <v>275</v>
      </c>
    </row>
    <row r="194" spans="1:1">
      <c r="A194" s="107" t="s">
        <v>276</v>
      </c>
    </row>
    <row r="195" spans="1:1">
      <c r="A195" s="107" t="s">
        <v>277</v>
      </c>
    </row>
    <row r="196" spans="1:1">
      <c r="A196" s="107" t="s">
        <v>278</v>
      </c>
    </row>
    <row r="197" spans="1:1">
      <c r="A197" s="107" t="s">
        <v>279</v>
      </c>
    </row>
    <row r="198" spans="1:1">
      <c r="A198" s="107" t="s">
        <v>280</v>
      </c>
    </row>
    <row r="199" spans="1:1">
      <c r="A199" s="107" t="s">
        <v>281</v>
      </c>
    </row>
    <row r="200" spans="1:1">
      <c r="A200" s="107" t="s">
        <v>282</v>
      </c>
    </row>
    <row r="201" spans="1:1">
      <c r="A201" s="107" t="s">
        <v>283</v>
      </c>
    </row>
    <row r="202" spans="1:1">
      <c r="A202" s="107" t="s">
        <v>284</v>
      </c>
    </row>
    <row r="203" spans="1:1">
      <c r="A203" s="107" t="s">
        <v>285</v>
      </c>
    </row>
    <row r="204" spans="1:1">
      <c r="A204" s="107" t="s">
        <v>286</v>
      </c>
    </row>
    <row r="205" spans="1:1">
      <c r="A205" s="107" t="s">
        <v>287</v>
      </c>
    </row>
    <row r="206" spans="1:1">
      <c r="A206" s="107" t="s">
        <v>288</v>
      </c>
    </row>
    <row r="207" spans="1:1">
      <c r="A207" s="107" t="s">
        <v>289</v>
      </c>
    </row>
    <row r="208" spans="1:1">
      <c r="A208" s="107" t="s">
        <v>290</v>
      </c>
    </row>
    <row r="209" spans="1:1">
      <c r="A209" s="107" t="s">
        <v>291</v>
      </c>
    </row>
    <row r="210" spans="1:1">
      <c r="A210" s="107" t="s">
        <v>292</v>
      </c>
    </row>
    <row r="211" spans="1:1">
      <c r="A211" s="107" t="s">
        <v>417</v>
      </c>
    </row>
    <row r="212" spans="1:1">
      <c r="A212" s="107" t="s">
        <v>293</v>
      </c>
    </row>
    <row r="213" spans="1:1">
      <c r="A213" s="107" t="s">
        <v>294</v>
      </c>
    </row>
    <row r="214" spans="1:1">
      <c r="A214" s="107" t="s">
        <v>295</v>
      </c>
    </row>
    <row r="215" spans="1:1">
      <c r="A215" s="107" t="s">
        <v>296</v>
      </c>
    </row>
    <row r="216" spans="1:1">
      <c r="A216" s="107" t="s">
        <v>297</v>
      </c>
    </row>
    <row r="217" spans="1:1">
      <c r="A217" s="107" t="s">
        <v>298</v>
      </c>
    </row>
    <row r="218" spans="1:1">
      <c r="A218" s="107" t="s">
        <v>299</v>
      </c>
    </row>
    <row r="219" spans="1:1">
      <c r="A219" s="107" t="s">
        <v>300</v>
      </c>
    </row>
    <row r="220" spans="1:1" ht="13.5" thickBot="1">
      <c r="A220" s="108" t="s">
        <v>301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1"/>
  <sheetViews>
    <sheetView showGridLines="0" topLeftCell="A154" workbookViewId="0">
      <selection activeCell="A83" sqref="A83"/>
    </sheetView>
  </sheetViews>
  <sheetFormatPr baseColWidth="10" defaultColWidth="9.140625" defaultRowHeight="12.75"/>
  <cols>
    <col min="1" max="1" width="35" customWidth="1"/>
  </cols>
  <sheetData>
    <row r="1" spans="1:2" ht="13.5" thickBot="1">
      <c r="A1" s="104" t="s">
        <v>309</v>
      </c>
    </row>
    <row r="2" spans="1:2">
      <c r="A2" s="320">
        <v>101</v>
      </c>
      <c r="B2" s="34"/>
    </row>
    <row r="3" spans="1:2">
      <c r="A3" s="321">
        <v>102</v>
      </c>
      <c r="B3" s="34"/>
    </row>
    <row r="4" spans="1:2">
      <c r="A4" s="321">
        <v>107</v>
      </c>
    </row>
    <row r="5" spans="1:2">
      <c r="A5" s="322" t="s">
        <v>810</v>
      </c>
    </row>
    <row r="6" spans="1:2">
      <c r="A6" s="321">
        <v>201</v>
      </c>
      <c r="B6" s="34"/>
    </row>
    <row r="7" spans="1:2">
      <c r="A7" s="321">
        <v>202</v>
      </c>
      <c r="B7" s="34"/>
    </row>
    <row r="8" spans="1:2">
      <c r="A8" s="321">
        <v>249</v>
      </c>
      <c r="B8" s="34"/>
    </row>
    <row r="9" spans="1:2">
      <c r="A9" s="321">
        <v>258</v>
      </c>
      <c r="B9" s="34"/>
    </row>
    <row r="10" spans="1:2">
      <c r="A10" s="322" t="s">
        <v>811</v>
      </c>
      <c r="B10" s="34"/>
    </row>
    <row r="11" spans="1:2">
      <c r="A11" s="322" t="s">
        <v>812</v>
      </c>
      <c r="B11" s="34"/>
    </row>
    <row r="12" spans="1:2">
      <c r="A12" s="321">
        <v>314</v>
      </c>
      <c r="B12" s="34"/>
    </row>
    <row r="13" spans="1:2">
      <c r="A13" s="321">
        <v>316</v>
      </c>
      <c r="B13" s="34"/>
    </row>
    <row r="14" spans="1:2">
      <c r="A14" s="321">
        <v>5802</v>
      </c>
    </row>
    <row r="15" spans="1:2">
      <c r="A15" s="321">
        <v>5804</v>
      </c>
    </row>
    <row r="16" spans="1:2">
      <c r="A16" s="321">
        <v>5805</v>
      </c>
    </row>
    <row r="17" spans="1:2">
      <c r="A17" s="321">
        <v>5807</v>
      </c>
      <c r="B17" s="34"/>
    </row>
    <row r="18" spans="1:2">
      <c r="A18" s="321">
        <v>5810</v>
      </c>
    </row>
    <row r="19" spans="1:2">
      <c r="A19" s="321">
        <v>5811</v>
      </c>
    </row>
    <row r="20" spans="1:2">
      <c r="A20" s="321">
        <v>5814</v>
      </c>
    </row>
    <row r="21" spans="1:2">
      <c r="A21" s="321">
        <v>5815</v>
      </c>
    </row>
    <row r="22" spans="1:2">
      <c r="A22" s="321">
        <v>5818</v>
      </c>
      <c r="B22" s="34"/>
    </row>
    <row r="23" spans="1:2">
      <c r="A23" s="322" t="s">
        <v>813</v>
      </c>
      <c r="B23" s="34"/>
    </row>
    <row r="24" spans="1:2">
      <c r="A24" s="321">
        <v>5823</v>
      </c>
      <c r="B24" s="34"/>
    </row>
    <row r="25" spans="1:2">
      <c r="A25" s="321">
        <v>5824</v>
      </c>
    </row>
    <row r="26" spans="1:2">
      <c r="A26" s="321">
        <v>5825</v>
      </c>
    </row>
    <row r="27" spans="1:2">
      <c r="A27" s="321">
        <v>5827</v>
      </c>
    </row>
    <row r="28" spans="1:2">
      <c r="A28" s="321">
        <v>5829</v>
      </c>
      <c r="B28" s="34"/>
    </row>
    <row r="29" spans="1:2">
      <c r="A29" s="321">
        <v>5831</v>
      </c>
      <c r="B29" s="34"/>
    </row>
    <row r="30" spans="1:2">
      <c r="A30" s="321">
        <v>5832</v>
      </c>
      <c r="B30" s="34"/>
    </row>
    <row r="31" spans="1:2">
      <c r="A31" s="321">
        <v>5843</v>
      </c>
      <c r="B31" s="34"/>
    </row>
    <row r="32" spans="1:2">
      <c r="A32" s="321">
        <v>5845</v>
      </c>
      <c r="B32" s="34"/>
    </row>
    <row r="33" spans="1:2">
      <c r="A33" s="321">
        <v>5846</v>
      </c>
      <c r="B33" s="34"/>
    </row>
    <row r="34" spans="1:2">
      <c r="A34" s="321">
        <v>5851</v>
      </c>
    </row>
    <row r="35" spans="1:2">
      <c r="A35" s="321">
        <v>5857</v>
      </c>
      <c r="B35" s="34"/>
    </row>
    <row r="36" spans="1:2">
      <c r="A36" s="321">
        <v>5859</v>
      </c>
    </row>
    <row r="37" spans="1:2">
      <c r="A37" s="321">
        <v>5861</v>
      </c>
    </row>
    <row r="38" spans="1:2">
      <c r="A38" s="321">
        <v>5863</v>
      </c>
    </row>
    <row r="39" spans="1:2">
      <c r="A39" s="321">
        <v>5864</v>
      </c>
    </row>
    <row r="40" spans="1:2">
      <c r="A40" s="321">
        <v>5865</v>
      </c>
    </row>
    <row r="41" spans="1:2">
      <c r="A41" s="321">
        <v>5868</v>
      </c>
      <c r="B41" s="34"/>
    </row>
    <row r="42" spans="1:2">
      <c r="A42" s="321">
        <v>5869</v>
      </c>
      <c r="B42" s="34"/>
    </row>
    <row r="43" spans="1:2">
      <c r="A43" s="321">
        <v>5870</v>
      </c>
      <c r="B43" s="34"/>
    </row>
    <row r="44" spans="1:2">
      <c r="A44" s="321">
        <v>5889</v>
      </c>
      <c r="B44" s="34"/>
    </row>
    <row r="45" spans="1:2">
      <c r="A45" s="321">
        <v>5891</v>
      </c>
    </row>
    <row r="46" spans="1:2">
      <c r="A46" s="321">
        <v>5892</v>
      </c>
    </row>
    <row r="47" spans="1:2">
      <c r="A47" s="321">
        <v>5893</v>
      </c>
      <c r="B47" s="34"/>
    </row>
    <row r="48" spans="1:2">
      <c r="A48" s="321">
        <v>5894</v>
      </c>
      <c r="B48" s="34"/>
    </row>
    <row r="49" spans="1:2">
      <c r="A49" s="321">
        <v>5895</v>
      </c>
      <c r="B49" s="34"/>
    </row>
    <row r="50" spans="1:2">
      <c r="A50" s="321">
        <v>5898</v>
      </c>
      <c r="B50" s="34"/>
    </row>
    <row r="51" spans="1:2">
      <c r="A51" s="321">
        <v>5899</v>
      </c>
      <c r="B51" s="34"/>
    </row>
    <row r="52" spans="1:2">
      <c r="A52" s="321">
        <v>5913</v>
      </c>
    </row>
    <row r="53" spans="1:2">
      <c r="A53" s="321">
        <v>5914</v>
      </c>
    </row>
    <row r="54" spans="1:2">
      <c r="A54" s="321">
        <v>5915</v>
      </c>
    </row>
    <row r="55" spans="1:2">
      <c r="A55" s="321">
        <v>5917</v>
      </c>
    </row>
    <row r="56" spans="1:2">
      <c r="A56" s="321">
        <v>5918</v>
      </c>
    </row>
    <row r="57" spans="1:2">
      <c r="A57" s="321">
        <v>5920</v>
      </c>
    </row>
    <row r="58" spans="1:2">
      <c r="A58" s="321">
        <v>5925</v>
      </c>
    </row>
    <row r="59" spans="1:2">
      <c r="A59" s="321">
        <v>5926</v>
      </c>
    </row>
    <row r="60" spans="1:2">
      <c r="A60" s="321">
        <v>5927</v>
      </c>
    </row>
    <row r="61" spans="1:2">
      <c r="A61" s="321">
        <v>5928</v>
      </c>
    </row>
    <row r="62" spans="1:2">
      <c r="A62" s="321">
        <v>5929</v>
      </c>
    </row>
    <row r="63" spans="1:2">
      <c r="A63" s="321">
        <v>5930</v>
      </c>
    </row>
    <row r="64" spans="1:2">
      <c r="A64" s="321">
        <v>5932</v>
      </c>
    </row>
    <row r="65" spans="1:2">
      <c r="A65" s="321">
        <v>5933</v>
      </c>
    </row>
    <row r="66" spans="1:2">
      <c r="A66" s="321">
        <v>5936</v>
      </c>
    </row>
    <row r="67" spans="1:2">
      <c r="A67" s="321">
        <v>5937</v>
      </c>
    </row>
    <row r="68" spans="1:2">
      <c r="A68" s="321">
        <v>5940</v>
      </c>
    </row>
    <row r="69" spans="1:2">
      <c r="A69" s="321">
        <v>5942</v>
      </c>
    </row>
    <row r="70" spans="1:2">
      <c r="A70" s="321">
        <v>5943</v>
      </c>
      <c r="B70" s="34"/>
    </row>
    <row r="71" spans="1:2">
      <c r="A71" s="321">
        <v>5946</v>
      </c>
      <c r="B71" s="34"/>
    </row>
    <row r="72" spans="1:2">
      <c r="A72" s="321">
        <v>5947</v>
      </c>
      <c r="B72" s="34"/>
    </row>
    <row r="73" spans="1:2">
      <c r="A73" s="321">
        <v>5954</v>
      </c>
      <c r="B73" s="34"/>
    </row>
    <row r="74" spans="1:2">
      <c r="A74" s="321">
        <v>5955</v>
      </c>
      <c r="B74" s="34"/>
    </row>
    <row r="75" spans="1:2">
      <c r="A75" s="321">
        <v>5962</v>
      </c>
      <c r="B75" s="34"/>
    </row>
    <row r="76" spans="1:2">
      <c r="A76" s="321">
        <v>5964</v>
      </c>
      <c r="B76" s="34"/>
    </row>
    <row r="77" spans="1:2">
      <c r="A77" s="321">
        <v>5969</v>
      </c>
      <c r="B77" s="34"/>
    </row>
    <row r="78" spans="1:2">
      <c r="A78" s="321">
        <v>5970</v>
      </c>
    </row>
    <row r="79" spans="1:2">
      <c r="A79" s="322">
        <v>5971</v>
      </c>
    </row>
    <row r="80" spans="1:2">
      <c r="A80" s="322">
        <v>5972</v>
      </c>
    </row>
    <row r="81" spans="1:1">
      <c r="A81" s="321">
        <v>5974</v>
      </c>
    </row>
    <row r="82" spans="1:1">
      <c r="A82" s="321" t="s">
        <v>371</v>
      </c>
    </row>
    <row r="83" spans="1:1">
      <c r="A83" s="321" t="s">
        <v>372</v>
      </c>
    </row>
    <row r="84" spans="1:1">
      <c r="A84" s="321" t="s">
        <v>373</v>
      </c>
    </row>
    <row r="85" spans="1:1">
      <c r="A85" s="321" t="s">
        <v>374</v>
      </c>
    </row>
    <row r="86" spans="1:1">
      <c r="A86" s="321" t="s">
        <v>375</v>
      </c>
    </row>
    <row r="87" spans="1:1">
      <c r="A87" s="321" t="s">
        <v>376</v>
      </c>
    </row>
    <row r="88" spans="1:1">
      <c r="A88" s="321" t="s">
        <v>377</v>
      </c>
    </row>
    <row r="89" spans="1:1">
      <c r="A89" s="321" t="s">
        <v>378</v>
      </c>
    </row>
    <row r="90" spans="1:1">
      <c r="A90" s="321" t="s">
        <v>379</v>
      </c>
    </row>
    <row r="91" spans="1:1">
      <c r="A91" s="321" t="s">
        <v>380</v>
      </c>
    </row>
    <row r="92" spans="1:1">
      <c r="A92" s="321" t="s">
        <v>381</v>
      </c>
    </row>
    <row r="93" spans="1:1">
      <c r="A93" s="321" t="s">
        <v>382</v>
      </c>
    </row>
    <row r="94" spans="1:1">
      <c r="A94" s="321" t="s">
        <v>383</v>
      </c>
    </row>
    <row r="95" spans="1:1">
      <c r="A95" s="321" t="s">
        <v>384</v>
      </c>
    </row>
    <row r="96" spans="1:1">
      <c r="A96" s="321" t="s">
        <v>520</v>
      </c>
    </row>
    <row r="97" spans="1:1">
      <c r="A97" s="321" t="s">
        <v>385</v>
      </c>
    </row>
    <row r="98" spans="1:1">
      <c r="A98" s="321" t="s">
        <v>386</v>
      </c>
    </row>
    <row r="99" spans="1:1">
      <c r="A99" s="321" t="s">
        <v>387</v>
      </c>
    </row>
    <row r="100" spans="1:1">
      <c r="A100" s="321" t="s">
        <v>388</v>
      </c>
    </row>
    <row r="101" spans="1:1">
      <c r="A101" s="321" t="s">
        <v>389</v>
      </c>
    </row>
    <row r="102" spans="1:1">
      <c r="A102" s="321" t="s">
        <v>390</v>
      </c>
    </row>
    <row r="103" spans="1:1">
      <c r="A103" s="321" t="s">
        <v>391</v>
      </c>
    </row>
    <row r="104" spans="1:1">
      <c r="A104" s="321" t="s">
        <v>392</v>
      </c>
    </row>
    <row r="105" spans="1:1">
      <c r="A105" s="321" t="s">
        <v>393</v>
      </c>
    </row>
    <row r="106" spans="1:1">
      <c r="A106" s="321" t="s">
        <v>394</v>
      </c>
    </row>
    <row r="107" spans="1:1">
      <c r="A107" s="321" t="s">
        <v>395</v>
      </c>
    </row>
    <row r="108" spans="1:1">
      <c r="A108" s="321" t="s">
        <v>396</v>
      </c>
    </row>
    <row r="109" spans="1:1">
      <c r="A109" s="321" t="s">
        <v>397</v>
      </c>
    </row>
    <row r="110" spans="1:1">
      <c r="A110" s="321" t="s">
        <v>398</v>
      </c>
    </row>
    <row r="111" spans="1:1" ht="13.5" thickBot="1">
      <c r="A111" s="323" t="s">
        <v>521</v>
      </c>
    </row>
  </sheetData>
  <sheetProtection password="DE15" sheet="1" objects="1" scenarios="1"/>
  <sortState ref="A3:A108">
    <sortCondition ref="A10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4"/>
  <sheetViews>
    <sheetView showGridLines="0" workbookViewId="0">
      <pane xSplit="9" ySplit="16" topLeftCell="R17" activePane="bottomRight" state="frozen"/>
      <selection pane="topRight" activeCell="J1" sqref="J1"/>
      <selection pane="bottomLeft" activeCell="A17" sqref="A17"/>
      <selection pane="bottomRight" activeCell="F38" sqref="F38"/>
    </sheetView>
  </sheetViews>
  <sheetFormatPr baseColWidth="10" defaultColWidth="9.140625" defaultRowHeight="12.75"/>
  <cols>
    <col min="1" max="1" width="9.140625" style="34" hidden="1" customWidth="1"/>
    <col min="2" max="2" width="10.140625" style="34" hidden="1" customWidth="1"/>
    <col min="3" max="3" width="13.7109375" style="34" hidden="1" customWidth="1"/>
    <col min="4" max="4" width="10.42578125" style="34" hidden="1" customWidth="1"/>
    <col min="5" max="7" width="9.140625" style="34"/>
    <col min="8" max="8" width="12" style="34" bestFit="1" customWidth="1"/>
    <col min="9" max="16384" width="9.140625" style="34"/>
  </cols>
  <sheetData>
    <row r="1" spans="1:9" ht="13.5" thickBot="1">
      <c r="A1" s="696" t="s">
        <v>302</v>
      </c>
      <c r="B1" s="697"/>
      <c r="C1" s="697"/>
      <c r="D1" s="697"/>
      <c r="E1" s="697"/>
      <c r="F1" s="697"/>
      <c r="G1" s="697"/>
      <c r="H1" s="697"/>
      <c r="I1" s="698"/>
    </row>
    <row r="2" spans="1:9" ht="13.5" thickBot="1">
      <c r="A2" s="693" t="s">
        <v>310</v>
      </c>
      <c r="B2" s="695"/>
      <c r="C2" s="693" t="s">
        <v>311</v>
      </c>
      <c r="D2" s="695"/>
      <c r="E2" s="693" t="s">
        <v>331</v>
      </c>
      <c r="F2" s="694"/>
      <c r="G2" s="694"/>
      <c r="H2" s="694"/>
      <c r="I2" s="695"/>
    </row>
    <row r="3" spans="1:9">
      <c r="A3" s="20">
        <v>1</v>
      </c>
      <c r="B3" s="21" t="s">
        <v>312</v>
      </c>
      <c r="C3" s="22">
        <v>3.28024</v>
      </c>
      <c r="D3" s="21" t="s">
        <v>313</v>
      </c>
      <c r="E3" s="99">
        <v>1000</v>
      </c>
      <c r="F3" s="29" t="s">
        <v>312</v>
      </c>
      <c r="G3" s="57" t="s">
        <v>330</v>
      </c>
      <c r="H3" s="32">
        <f>E3*C3</f>
        <v>3280.2400000000002</v>
      </c>
      <c r="I3" s="29" t="s">
        <v>313</v>
      </c>
    </row>
    <row r="4" spans="1:9" ht="13.5" thickBot="1">
      <c r="A4" s="35">
        <v>1</v>
      </c>
      <c r="B4" s="23" t="s">
        <v>313</v>
      </c>
      <c r="C4" s="36">
        <v>0.30480000000000002</v>
      </c>
      <c r="D4" s="23" t="s">
        <v>312</v>
      </c>
      <c r="E4" s="100"/>
      <c r="F4" s="28" t="s">
        <v>313</v>
      </c>
      <c r="G4" s="58" t="s">
        <v>330</v>
      </c>
      <c r="H4" s="33">
        <f t="shared" ref="H4:H14" si="0">E4*C4</f>
        <v>0</v>
      </c>
      <c r="I4" s="28" t="s">
        <v>312</v>
      </c>
    </row>
    <row r="5" spans="1:9">
      <c r="A5" s="20">
        <v>1</v>
      </c>
      <c r="B5" s="21" t="s">
        <v>315</v>
      </c>
      <c r="C5" s="22">
        <v>0.26419999999999999</v>
      </c>
      <c r="D5" s="21" t="s">
        <v>316</v>
      </c>
      <c r="E5" s="99"/>
      <c r="F5" s="29" t="s">
        <v>315</v>
      </c>
      <c r="G5" s="57" t="s">
        <v>330</v>
      </c>
      <c r="H5" s="32">
        <f t="shared" si="0"/>
        <v>0</v>
      </c>
      <c r="I5" s="29" t="s">
        <v>316</v>
      </c>
    </row>
    <row r="6" spans="1:9" ht="13.5" thickBot="1">
      <c r="A6" s="35">
        <v>1</v>
      </c>
      <c r="B6" s="23" t="s">
        <v>316</v>
      </c>
      <c r="C6" s="37">
        <v>3.7850000000000001</v>
      </c>
      <c r="D6" s="23" t="s">
        <v>315</v>
      </c>
      <c r="E6" s="100"/>
      <c r="F6" s="28" t="s">
        <v>316</v>
      </c>
      <c r="G6" s="58" t="s">
        <v>330</v>
      </c>
      <c r="H6" s="33">
        <f t="shared" si="0"/>
        <v>0</v>
      </c>
      <c r="I6" s="28" t="s">
        <v>315</v>
      </c>
    </row>
    <row r="7" spans="1:9">
      <c r="A7" s="20">
        <v>1</v>
      </c>
      <c r="B7" s="21" t="s">
        <v>317</v>
      </c>
      <c r="C7" s="59">
        <v>4.5359236999999999E-4</v>
      </c>
      <c r="D7" s="21" t="s">
        <v>314</v>
      </c>
      <c r="E7" s="99"/>
      <c r="F7" s="29" t="s">
        <v>317</v>
      </c>
      <c r="G7" s="57" t="s">
        <v>330</v>
      </c>
      <c r="H7" s="32">
        <f t="shared" si="0"/>
        <v>0</v>
      </c>
      <c r="I7" s="29" t="s">
        <v>314</v>
      </c>
    </row>
    <row r="8" spans="1:9" ht="13.5" thickBot="1">
      <c r="A8" s="35">
        <v>1</v>
      </c>
      <c r="B8" s="23" t="s">
        <v>314</v>
      </c>
      <c r="C8" s="60">
        <v>2204.6226218000002</v>
      </c>
      <c r="D8" s="23" t="s">
        <v>317</v>
      </c>
      <c r="E8" s="100"/>
      <c r="F8" s="28" t="s">
        <v>314</v>
      </c>
      <c r="G8" s="58" t="s">
        <v>330</v>
      </c>
      <c r="H8" s="33">
        <f t="shared" si="0"/>
        <v>0</v>
      </c>
      <c r="I8" s="28" t="s">
        <v>317</v>
      </c>
    </row>
    <row r="9" spans="1:9">
      <c r="A9" s="20">
        <v>1</v>
      </c>
      <c r="B9" s="21" t="s">
        <v>318</v>
      </c>
      <c r="C9" s="22">
        <v>0.1198</v>
      </c>
      <c r="D9" s="21" t="s">
        <v>319</v>
      </c>
      <c r="E9" s="99"/>
      <c r="F9" s="29" t="s">
        <v>318</v>
      </c>
      <c r="G9" s="57" t="s">
        <v>330</v>
      </c>
      <c r="H9" s="32">
        <f t="shared" si="0"/>
        <v>0</v>
      </c>
      <c r="I9" s="29" t="s">
        <v>319</v>
      </c>
    </row>
    <row r="10" spans="1:9" ht="13.5" thickBot="1">
      <c r="A10" s="35">
        <v>1</v>
      </c>
      <c r="B10" s="23" t="s">
        <v>319</v>
      </c>
      <c r="C10" s="37">
        <v>8.3469999999999995</v>
      </c>
      <c r="D10" s="23" t="s">
        <v>318</v>
      </c>
      <c r="E10" s="100"/>
      <c r="F10" s="28" t="s">
        <v>319</v>
      </c>
      <c r="G10" s="58" t="s">
        <v>330</v>
      </c>
      <c r="H10" s="33">
        <f t="shared" si="0"/>
        <v>0</v>
      </c>
      <c r="I10" s="28" t="s">
        <v>318</v>
      </c>
    </row>
    <row r="11" spans="1:9">
      <c r="A11" s="61">
        <v>1</v>
      </c>
      <c r="B11" s="62" t="s">
        <v>367</v>
      </c>
      <c r="C11" s="34">
        <v>0.62137119200000002</v>
      </c>
      <c r="D11" s="62" t="s">
        <v>368</v>
      </c>
      <c r="E11" s="99"/>
      <c r="F11" s="29" t="s">
        <v>367</v>
      </c>
      <c r="G11" s="57" t="s">
        <v>330</v>
      </c>
      <c r="H11" s="32">
        <f>E11*C11</f>
        <v>0</v>
      </c>
      <c r="I11" s="29" t="s">
        <v>368</v>
      </c>
    </row>
    <row r="12" spans="1:9" ht="13.5" thickBot="1">
      <c r="A12" s="63">
        <v>1</v>
      </c>
      <c r="B12" s="64" t="s">
        <v>368</v>
      </c>
      <c r="C12" s="65">
        <v>1.6093440000000001</v>
      </c>
      <c r="D12" s="64" t="s">
        <v>367</v>
      </c>
      <c r="E12" s="101"/>
      <c r="F12" s="66" t="s">
        <v>368</v>
      </c>
      <c r="G12" s="67" t="s">
        <v>330</v>
      </c>
      <c r="H12" s="68">
        <f>E12*C12</f>
        <v>0</v>
      </c>
      <c r="I12" s="66" t="s">
        <v>367</v>
      </c>
    </row>
    <row r="13" spans="1:9">
      <c r="A13" s="20">
        <v>1</v>
      </c>
      <c r="B13" s="21" t="s">
        <v>320</v>
      </c>
      <c r="C13" s="22">
        <v>6.2898107699999999</v>
      </c>
      <c r="D13" s="21" t="s">
        <v>321</v>
      </c>
      <c r="E13" s="99">
        <v>26</v>
      </c>
      <c r="F13" s="29" t="s">
        <v>320</v>
      </c>
      <c r="G13" s="57" t="s">
        <v>330</v>
      </c>
      <c r="H13" s="32">
        <f t="shared" si="0"/>
        <v>163.53508002000001</v>
      </c>
      <c r="I13" s="29" t="s">
        <v>321</v>
      </c>
    </row>
    <row r="14" spans="1:9" ht="13.5" thickBot="1">
      <c r="A14" s="35">
        <v>1</v>
      </c>
      <c r="B14" s="23" t="s">
        <v>321</v>
      </c>
      <c r="C14" s="37">
        <v>0.158987295</v>
      </c>
      <c r="D14" s="23" t="s">
        <v>320</v>
      </c>
      <c r="E14" s="100"/>
      <c r="F14" s="28" t="s">
        <v>321</v>
      </c>
      <c r="G14" s="58" t="s">
        <v>330</v>
      </c>
      <c r="H14" s="33">
        <f t="shared" si="0"/>
        <v>0</v>
      </c>
      <c r="I14" s="28" t="s">
        <v>320</v>
      </c>
    </row>
    <row r="15" spans="1:9">
      <c r="A15" s="38">
        <v>1</v>
      </c>
      <c r="B15" s="24" t="s">
        <v>322</v>
      </c>
      <c r="C15" s="25" t="s">
        <v>323</v>
      </c>
      <c r="D15" s="24" t="s">
        <v>324</v>
      </c>
      <c r="E15" s="102"/>
      <c r="F15" s="30" t="s">
        <v>322</v>
      </c>
      <c r="G15" s="69" t="s">
        <v>330</v>
      </c>
      <c r="H15" s="32">
        <f>IF(E15="",0,32+(E15*1.8))</f>
        <v>0</v>
      </c>
      <c r="I15" s="30" t="s">
        <v>324</v>
      </c>
    </row>
    <row r="16" spans="1:9" ht="13.5" thickBot="1">
      <c r="A16" s="39">
        <v>1</v>
      </c>
      <c r="B16" s="26" t="s">
        <v>324</v>
      </c>
      <c r="C16" s="27" t="s">
        <v>325</v>
      </c>
      <c r="D16" s="26" t="s">
        <v>322</v>
      </c>
      <c r="E16" s="103"/>
      <c r="F16" s="31" t="s">
        <v>324</v>
      </c>
      <c r="G16" s="70" t="s">
        <v>330</v>
      </c>
      <c r="H16" s="33">
        <f>IF(E16="",0,(E16-32)*0.5556)</f>
        <v>0</v>
      </c>
      <c r="I16" s="31" t="s">
        <v>322</v>
      </c>
    </row>
    <row r="17" spans="1:9">
      <c r="A17" s="71"/>
      <c r="B17" s="72"/>
      <c r="C17" s="71"/>
      <c r="D17" s="72"/>
      <c r="E17" s="73"/>
      <c r="F17" s="72"/>
      <c r="G17" s="72"/>
      <c r="H17" s="71"/>
      <c r="I17" s="72"/>
    </row>
    <row r="18" spans="1:9">
      <c r="A18" s="25"/>
      <c r="B18" s="67"/>
      <c r="C18" s="25"/>
      <c r="D18" s="67"/>
      <c r="E18" s="74"/>
      <c r="F18" s="67"/>
      <c r="G18" s="67"/>
      <c r="H18" s="25"/>
      <c r="I18" s="67"/>
    </row>
    <row r="19" spans="1:9">
      <c r="A19" s="25"/>
      <c r="B19" s="67"/>
      <c r="C19" s="25"/>
      <c r="D19" s="67"/>
      <c r="E19" s="74"/>
      <c r="F19" s="67"/>
      <c r="G19" s="67"/>
      <c r="H19" s="25"/>
      <c r="I19" s="67"/>
    </row>
    <row r="20" spans="1:9">
      <c r="A20" s="25"/>
      <c r="B20" s="67"/>
      <c r="C20" s="25"/>
      <c r="D20" s="67"/>
      <c r="E20" s="74"/>
      <c r="F20" s="67"/>
      <c r="G20" s="67"/>
      <c r="H20" s="25"/>
      <c r="I20" s="67"/>
    </row>
    <row r="21" spans="1:9">
      <c r="A21" s="25"/>
      <c r="B21" s="67"/>
      <c r="C21" s="25"/>
      <c r="D21" s="67"/>
      <c r="E21" s="74"/>
      <c r="F21" s="67"/>
      <c r="G21" s="67"/>
      <c r="H21" s="25"/>
      <c r="I21" s="67"/>
    </row>
    <row r="22" spans="1:9">
      <c r="A22" s="25"/>
      <c r="B22" s="67"/>
      <c r="C22" s="25"/>
      <c r="D22" s="67"/>
      <c r="E22" s="74"/>
      <c r="F22" s="67"/>
      <c r="G22" s="67"/>
      <c r="H22" s="25"/>
      <c r="I22" s="67"/>
    </row>
    <row r="23" spans="1:9">
      <c r="A23" s="75"/>
      <c r="B23" s="76"/>
      <c r="C23" s="25"/>
      <c r="D23" s="76"/>
      <c r="E23" s="77"/>
      <c r="F23" s="76"/>
      <c r="G23" s="76"/>
      <c r="H23" s="25"/>
      <c r="I23" s="76"/>
    </row>
    <row r="24" spans="1:9">
      <c r="A24" s="75"/>
      <c r="B24" s="76"/>
      <c r="C24" s="25"/>
      <c r="D24" s="76"/>
      <c r="E24" s="77"/>
      <c r="F24" s="76"/>
      <c r="G24" s="76"/>
      <c r="H24" s="25"/>
      <c r="I24" s="76"/>
    </row>
  </sheetData>
  <sheetProtection password="D90D" sheet="1" objects="1" scenarios="1"/>
  <mergeCells count="4">
    <mergeCell ref="E2:I2"/>
    <mergeCell ref="A1:I1"/>
    <mergeCell ref="A2:B2"/>
    <mergeCell ref="C2:D2"/>
  </mergeCells>
  <dataValidations count="1">
    <dataValidation type="decimal" operator="greaterThanOrEqual" allowBlank="1" showInputMessage="1" showErrorMessage="1" errorTitle="Error message" error="Please, insert a number!" sqref="E3:E24">
      <formula1>-10000000000000000000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9"/>
  <sheetViews>
    <sheetView workbookViewId="0">
      <selection activeCell="A9" sqref="A9"/>
    </sheetView>
  </sheetViews>
  <sheetFormatPr baseColWidth="10" defaultColWidth="9.140625" defaultRowHeight="12.75"/>
  <cols>
    <col min="1" max="1" width="38.5703125" customWidth="1"/>
  </cols>
  <sheetData>
    <row r="1" spans="1:1" ht="13.5" thickBot="1">
      <c r="A1" s="56" t="s">
        <v>356</v>
      </c>
    </row>
    <row r="2" spans="1:1">
      <c r="A2" s="96" t="s">
        <v>357</v>
      </c>
    </row>
    <row r="3" spans="1:1">
      <c r="A3" s="97" t="s">
        <v>358</v>
      </c>
    </row>
    <row r="4" spans="1:1">
      <c r="A4" s="97" t="s">
        <v>359</v>
      </c>
    </row>
    <row r="5" spans="1:1">
      <c r="A5" s="97" t="s">
        <v>363</v>
      </c>
    </row>
    <row r="6" spans="1:1">
      <c r="A6" s="97" t="s">
        <v>364</v>
      </c>
    </row>
    <row r="7" spans="1:1">
      <c r="A7" s="97" t="s">
        <v>365</v>
      </c>
    </row>
    <row r="8" spans="1:1">
      <c r="A8" s="97" t="s">
        <v>366</v>
      </c>
    </row>
    <row r="9" spans="1:1" ht="13.5" thickBot="1">
      <c r="A9" s="98" t="s">
        <v>360</v>
      </c>
    </row>
  </sheetData>
  <sheetProtection password="D90D" sheet="1" objects="1" scenarios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A2" sqref="A2"/>
    </sheetView>
  </sheetViews>
  <sheetFormatPr baseColWidth="10" defaultColWidth="9.140625" defaultRowHeight="12.75"/>
  <sheetData>
    <row r="1" spans="1:1">
      <c r="A1" s="34" t="s">
        <v>524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mailTo xmlns="http://schemas.microsoft.com/sharepoint/v3">Drilling Daily Report &amp;lt;DrillingDailyReport@saipem.com&amp;gt;; DRILLING OPERATIONS &amp;lt;DRILLING.OPERATIONS@saipem.com&amp;gt;</EmailTo>
    <EmailHeaders xmlns="http://schemas.microsoft.com/sharepoint/v4">x-sender: Nishit.Patel@saipem.com
x-receiver: drillingdailyreport@saipentia.saipem.com
Received: from SASV01FF.saipemnet.saipem.intranet ([10.131.174.184]) by SASV01VY.saipemnet.saipem.intranet with Microsoft SMTPSVC(7.5.7601.17514);
	 Fri, 24 Jun 2016 09:13:47 +0200
Received: from ASSSVA004.saipemnet.saipem.intranet (10.157.128.172) by
 SASV01FF.saipemnet.saipem.intranet (10.131.174.184) with Microsoft SMTP
 Server (TLS) id 14.3.224.2; Fri, 24 Jun 2016 09:13:26 +0200
Received: from ASSSVA004.saipemnet.saipem.intranet ([10.157.128.172]) by
 ASSSVA004 ([10.157.128.172]) with mapi id 14.03.0224.002; Fri, 24 Jun 2016
 10:12:40 +0300
From: Patel Nishit &lt;Nishit.Patel@saipem.com&gt;
To: Drilling Daily Report &lt;DrillingDailyReport@saipem.com&gt;, DRILLING
 OPERATIONS &lt;DRILLING.OPERATIONS@saipem.com&gt;
CC: Palliotto Egidio &lt;Egidio.Palliotto@saipem.com&gt;, Pandolfi Franco
	&lt;Franco.Pandolfi@saipem.com&gt;, Marlon Romo &lt;Marlon.Romo@saipem.com&gt;, Sapone
 Massimo &lt;Massimo.Sapone@saipem.com&gt;
Subject: On Shore Drilling Operation Saudi 23-June-2016 PART-2
Thread-Topic: On Shore Drilling Operation Saudi 23-June-2016 PART-2
Thread-Index: AdHN5u+co4SSl97rTDC1QsoRCk68Ew==
Date: Fri, 24 Jun 2016 07:12:37 +0000
Message-ID: &lt;1DB7157D694B544580704F70477DF6C101011F055C@ASSSVA004&gt;
Accept-Language: en-US
Content-Language: en-US
X-MS-Has-Attach: yes
X-MS-TNEF-Correlator:
x-originating-ip: [10.157.157.178]
Content-Type: multipart/mixed;
	boundary="_019_1DB7157D694B544580704F70477DF6C101011F055CASSSVA004_"
MIME-Version: 1.0
Return-Path: Nishit.Patel@saipem.com
X-OriginalArrivalTime: 24 Jun 2016 07:13:47.0325 (UTC) FILETIME=[F3491ED0:01D1CDE7]
</EmailHeaders>
    <EmailSender xmlns="http://schemas.microsoft.com/sharepoint/v3">&lt;a href="mailto:Nishit.Patel@saipem.com"&gt;Nishit.Patel@saipem.com&lt;/a&gt;</EmailSender>
    <EmailFrom xmlns="http://schemas.microsoft.com/sharepoint/v3">Patel Nishit &lt;Nishit.Patel@saipem.com&gt;</EmailFrom>
    <EmailSubject xmlns="http://schemas.microsoft.com/sharepoint/v3">On Shore Drilling Operation Saudi 23-June-2016 PART-2</EmailSubject>
    <PublishingExpirationDate xmlns="http://schemas.microsoft.com/sharepoint/v3" xsi:nil="true"/>
    <PublishingStartDate xmlns="http://schemas.microsoft.com/sharepoint/v3" xsi:nil="true"/>
    <EmailCc xmlns="http://schemas.microsoft.com/sharepoint/v3">Palliotto Egidio &amp;lt;Egidio.Palliotto@saipem.com&amp;gt;; Pandolfi Franco &amp;lt;Franco.Pandolfi@saipem.com&amp;gt;; Marlon Romo &amp;lt;Marlon.Romo@saipem.com&amp;gt;; Sapone Massimo &amp;lt;Massimo.Sapone@saipem.com&amp;gt;</EmailCc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CB113C0528614DA26A456A594EA2BF" ma:contentTypeVersion="7" ma:contentTypeDescription="Create a new document." ma:contentTypeScope="" ma:versionID="2dd5cc7be498c194a79ee0570bc6f740">
  <xsd:schema xmlns:xsd="http://www.w3.org/2001/XMLSchema" xmlns:xs="http://www.w3.org/2001/XMLSchema" xmlns:p="http://schemas.microsoft.com/office/2006/metadata/properties" xmlns:ns1="http://schemas.microsoft.com/sharepoint/v3" xmlns:ns2="http://schemas.microsoft.com/sharepoint/v4" targetNamespace="http://schemas.microsoft.com/office/2006/metadata/properties" ma:root="true" ma:fieldsID="5be30148e734855b4c586f1c38e8c45f" ns1:_="" ns2:_="">
    <xsd:import namespace="http://schemas.microsoft.com/sharepoint/v3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EmailSender" minOccurs="0"/>
                <xsd:element ref="ns1:EmailTo" minOccurs="0"/>
                <xsd:element ref="ns1:EmailCc" minOccurs="0"/>
                <xsd:element ref="ns1:EmailFrom" minOccurs="0"/>
                <xsd:element ref="ns1:EmailSubject" minOccurs="0"/>
                <xsd:element ref="ns2:EmailHead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EmailSender" ma:index="10" nillable="true" ma:displayName="E-Mail Sender" ma:hidden="true" ma:internalName="EmailSender">
      <xsd:simpleType>
        <xsd:restriction base="dms:Note">
          <xsd:maxLength value="255"/>
        </xsd:restriction>
      </xsd:simpleType>
    </xsd:element>
    <xsd:element name="EmailTo" ma:index="11" nillable="true" ma:displayName="E-Mail To" ma:hidden="true" ma:internalName="EmailTo">
      <xsd:simpleType>
        <xsd:restriction base="dms:Note">
          <xsd:maxLength value="255"/>
        </xsd:restriction>
      </xsd:simpleType>
    </xsd:element>
    <xsd:element name="EmailCc" ma:index="12" nillable="true" ma:displayName="E-Mail Cc" ma:hidden="true" ma:internalName="EmailCc">
      <xsd:simpleType>
        <xsd:restriction base="dms:Note">
          <xsd:maxLength value="255"/>
        </xsd:restriction>
      </xsd:simpleType>
    </xsd:element>
    <xsd:element name="EmailFrom" ma:index="13" nillable="true" ma:displayName="E-Mail From" ma:hidden="true" ma:internalName="EmailFrom">
      <xsd:simpleType>
        <xsd:restriction base="dms:Text"/>
      </xsd:simpleType>
    </xsd:element>
    <xsd:element name="EmailSubject" ma:index="14" nillable="true" ma:displayName="E-Mail Subject" ma:hidden="true" ma:internalName="EmailSubject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EmailHeaders" ma:index="15" nillable="true" ma:displayName="E-Mail Headers" ma:hidden="true" ma:internalName="EmailHeaders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7E073C-4AC7-40B0-A99A-30196086F3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A419C3-92FD-44EE-A9A4-072A526CEA21}">
  <ds:schemaRefs>
    <ds:schemaRef ds:uri="http://purl.org/dc/dcmitype/"/>
    <ds:schemaRef ds:uri="http://www.w3.org/XML/1998/namespace"/>
    <ds:schemaRef ds:uri="http://purl.org/dc/terms/"/>
    <ds:schemaRef ds:uri="http://schemas.microsoft.com/office/2006/documentManagement/types"/>
    <ds:schemaRef ds:uri="http://schemas.microsoft.com/sharepoint/v4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0675490C-B29D-48DD-892C-17D65F8AB4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32</vt:i4>
      </vt:variant>
    </vt:vector>
  </HeadingPairs>
  <TitlesOfParts>
    <vt:vector size="44" baseType="lpstr">
      <vt:lpstr>Daily Drilling Report</vt:lpstr>
      <vt:lpstr>Controls</vt:lpstr>
      <vt:lpstr>ANAGRAFICA WEATHER SKY</vt:lpstr>
      <vt:lpstr>ANAGRAFICA CODE</vt:lpstr>
      <vt:lpstr>Secondary Code</vt:lpstr>
      <vt:lpstr>Other Sections</vt:lpstr>
      <vt:lpstr>UOM Configuration</vt:lpstr>
      <vt:lpstr>Country Master Data</vt:lpstr>
      <vt:lpstr>Rig Master Data</vt:lpstr>
      <vt:lpstr>UOM Converter</vt:lpstr>
      <vt:lpstr>ANAGRAFICA STATUS</vt:lpstr>
      <vt:lpstr>ONSHORE</vt:lpstr>
      <vt:lpstr>_1._Rig_up_and_Tear_Down</vt:lpstr>
      <vt:lpstr>_10._Deviation_Survey</vt:lpstr>
      <vt:lpstr>_11._Wire_Line_Logs</vt:lpstr>
      <vt:lpstr>_12._Run_Casing_And_Cement</vt:lpstr>
      <vt:lpstr>_13._Wait_On_Cement</vt:lpstr>
      <vt:lpstr>_14._Nipple_Up_B.O.P</vt:lpstr>
      <vt:lpstr>_15._Test_B.O.P.</vt:lpstr>
      <vt:lpstr>_16._Drill_Stem_Test</vt:lpstr>
      <vt:lpstr>_17._Plug_Back</vt:lpstr>
      <vt:lpstr>_18._Squeeze_Cement</vt:lpstr>
      <vt:lpstr>_19._Fishing</vt:lpstr>
      <vt:lpstr>_2._Drill_Actual</vt:lpstr>
      <vt:lpstr>_20._Directional_Work</vt:lpstr>
      <vt:lpstr>_21._Other</vt:lpstr>
      <vt:lpstr>_22._Other_2</vt:lpstr>
      <vt:lpstr>_23._NOT_under_contract</vt:lpstr>
      <vt:lpstr>_3._Reaming</vt:lpstr>
      <vt:lpstr>_4._Coring</vt:lpstr>
      <vt:lpstr>_5._Condition_Mud_And_Circulate</vt:lpstr>
      <vt:lpstr>_6._Trips</vt:lpstr>
      <vt:lpstr>_7._Lubricate_Rig</vt:lpstr>
      <vt:lpstr>_8._Repair_Rig</vt:lpstr>
      <vt:lpstr>_9._Cut_Off_Drilling_Line</vt:lpstr>
      <vt:lpstr>_A._Perforating</vt:lpstr>
      <vt:lpstr>_B._Tubing_Trips</vt:lpstr>
      <vt:lpstr>_C._Treating</vt:lpstr>
      <vt:lpstr>_D._Swabbing</vt:lpstr>
      <vt:lpstr>_E._Well_Testing</vt:lpstr>
      <vt:lpstr>_F._Completion</vt:lpstr>
      <vt:lpstr>_G._Completion</vt:lpstr>
      <vt:lpstr>'Other Sections'!Área_de_impresión</vt:lpstr>
      <vt:lpstr>'Daily Drilling Report'!Títulos_a_imprimir</vt:lpstr>
    </vt:vector>
  </TitlesOfParts>
  <Company>SAIPEM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VS7PLMR</dc:creator>
  <cp:lastModifiedBy>RIG PTX 5857 ToolPusher (Colombia)</cp:lastModifiedBy>
  <cp:lastPrinted>2017-01-10T08:38:00Z</cp:lastPrinted>
  <dcterms:created xsi:type="dcterms:W3CDTF">2010-09-16T14:04:44Z</dcterms:created>
  <dcterms:modified xsi:type="dcterms:W3CDTF">2018-01-02T00:45:25Z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0x01010066CB113C0528614DA26A456A594EA2BF</vt:lpwstr>
  </property>
</Properties>
</file>